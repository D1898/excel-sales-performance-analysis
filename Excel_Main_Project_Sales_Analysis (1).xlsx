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user\Documents\My Data Analytic s Journey\"/>
    </mc:Choice>
  </mc:AlternateContent>
  <xr:revisionPtr revIDLastSave="0" documentId="13_ncr:1_{CC052761-587F-46EC-9530-F93E5257E1B6}" xr6:coauthVersionLast="47" xr6:coauthVersionMax="47" xr10:uidLastSave="{00000000-0000-0000-0000-000000000000}"/>
  <bookViews>
    <workbookView xWindow="-120" yWindow="-120" windowWidth="20730" windowHeight="11160" activeTab="1" xr2:uid="{00000000-000D-0000-FFFF-FFFF00000000}"/>
  </bookViews>
  <sheets>
    <sheet name="Raw Data" sheetId="1" r:id="rId1"/>
    <sheet name="Percentage Change" sheetId="6" r:id="rId2"/>
    <sheet name="Pivot tables 1" sheetId="5" r:id="rId3"/>
    <sheet name="Interactive Dashboard" sheetId="3" r:id="rId4"/>
    <sheet name="Project Brief" sheetId="2" state="hidden" r:id="rId5"/>
  </sheets>
  <definedNames>
    <definedName name="NativeTimeline_Order_Date">#N/A</definedName>
    <definedName name="Slicer_Category">#N/A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 l="1"/>
  <c r="J6" i="1"/>
  <c r="J3" i="1"/>
  <c r="J6" i="6"/>
  <c r="J7" i="6"/>
  <c r="J8" i="6"/>
  <c r="J9" i="6"/>
  <c r="J10" i="6"/>
  <c r="J11" i="6"/>
  <c r="J5" i="6"/>
  <c r="I6" i="6"/>
  <c r="I7" i="6"/>
  <c r="I8" i="6"/>
  <c r="I9" i="6"/>
  <c r="I10" i="6"/>
  <c r="I11" i="6"/>
  <c r="I5" i="6"/>
</calcChain>
</file>

<file path=xl/sharedStrings.xml><?xml version="1.0" encoding="utf-8"?>
<sst xmlns="http://schemas.openxmlformats.org/spreadsheetml/2006/main" count="227" uniqueCount="66">
  <si>
    <t>Order ID</t>
  </si>
  <si>
    <t>Order Date</t>
  </si>
  <si>
    <t>Product</t>
  </si>
  <si>
    <t>Category</t>
  </si>
  <si>
    <t>Customer</t>
  </si>
  <si>
    <t>Quantity</t>
  </si>
  <si>
    <t>Sales</t>
  </si>
  <si>
    <t>Product A</t>
  </si>
  <si>
    <t>Skincare</t>
  </si>
  <si>
    <t>Ada</t>
  </si>
  <si>
    <t>Product B</t>
  </si>
  <si>
    <t>Haircare</t>
  </si>
  <si>
    <t>Tolu</t>
  </si>
  <si>
    <t>Product C</t>
  </si>
  <si>
    <t>Body Care</t>
  </si>
  <si>
    <t>Chika</t>
  </si>
  <si>
    <t>Emeka</t>
  </si>
  <si>
    <t>Product D</t>
  </si>
  <si>
    <t>Excel Main Project Brief</t>
  </si>
  <si>
    <t>Clean and validate the Raw Data before analysis.</t>
  </si>
  <si>
    <t>Build an analysis that answers the business questions in the chat.</t>
  </si>
  <si>
    <t>Use formulas and/or PivotTables where appropriate.</t>
  </si>
  <si>
    <t>Create a simple dashboard/summary showing the most important findings.</t>
  </si>
  <si>
    <t>Finish with evidence-based business recommendations.</t>
  </si>
  <si>
    <t>Calculations</t>
  </si>
  <si>
    <t>Total Revenue</t>
  </si>
  <si>
    <t>Sum of Sales</t>
  </si>
  <si>
    <t>Row Labels</t>
  </si>
  <si>
    <t>Grand Total</t>
  </si>
  <si>
    <t>Jan</t>
  </si>
  <si>
    <t>Feb</t>
  </si>
  <si>
    <t>Mar</t>
  </si>
  <si>
    <t>Apr</t>
  </si>
  <si>
    <t>May</t>
  </si>
  <si>
    <t>Aug</t>
  </si>
  <si>
    <t>Month</t>
  </si>
  <si>
    <t>Change</t>
  </si>
  <si>
    <t>%Change</t>
  </si>
  <si>
    <t>June</t>
  </si>
  <si>
    <t>July</t>
  </si>
  <si>
    <t>Jun</t>
  </si>
  <si>
    <t>Jul</t>
  </si>
  <si>
    <t>Total Sales</t>
  </si>
  <si>
    <t>Total Orders</t>
  </si>
  <si>
    <t>AOV</t>
  </si>
  <si>
    <t>Best Selling Product</t>
  </si>
  <si>
    <t>KEY INSIGHTS:</t>
  </si>
  <si>
    <t>1. Overall Performance</t>
  </si>
  <si>
    <t>2. Product Performance</t>
  </si>
  <si>
    <t>Product A was the best-selling product, while Product D underperformed and requires further investigation.</t>
  </si>
  <si>
    <t>3. Category Performance</t>
  </si>
  <si>
    <t>Skincare generated the highest category sales, while Body care was the weakest category.</t>
  </si>
  <si>
    <t>4. Sales Trend</t>
  </si>
  <si>
    <t>February recorded the highest month-to-month growth at 38.52%. Sales declined across several subsequent months before recovering by 29.70% in August.</t>
  </si>
  <si>
    <t>5. Customer Performance</t>
  </si>
  <si>
    <t>The business generated ₦1.197M  in sales from 50 orders, with an average order value of ₦23,940</t>
  </si>
  <si>
    <t>Ada was the top customer, generating ₦453,000 across 17 orders, with an average prder value of approximately ₦26,676</t>
  </si>
  <si>
    <t>RECOMMENDATIONS:</t>
  </si>
  <si>
    <t>1. Product</t>
  </si>
  <si>
    <t>Investigate the factors contributing to Product A's strong performance and identify why Product D is underperforming before deciding on corrective actions</t>
  </si>
  <si>
    <t>2. Category</t>
  </si>
  <si>
    <t>Investigate what is driving Skincare's strongt performance and determine whether relevant factors can be applied to improve Body Care.</t>
  </si>
  <si>
    <t>3. Customer</t>
  </si>
  <si>
    <t>Examine Ada's Purchasing behaviour and identify opportunities to retain and further engage high-value customers.</t>
  </si>
  <si>
    <t>4. Sales Fluctuations</t>
  </si>
  <si>
    <t>Investigate the factors behind the significant monthly increases and declines to determine whether successful periods can be replicated.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</si>
</sst>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quot;$&quot;#,##0.00"/>
  </numFmts>
  <fonts count="3" x14ac:knownFonts="1">
    <font>
      <sz val="11"/>
      <color theme="1"/>
      <name val="Calibri"/>
      <family val="2"/>
      <scheme val="minor"/>
    </font>
    <font>
      <b/>
      <sz val="11"/>
      <name val="Calibri"/>
    </font>
    <font>
      <sz val="11"/>
      <color theme="1"/>
      <name val="Aptos Narrow"/>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Border="1" applyAlignment="1">
      <alignment horizontal="center" vertical="top"/>
    </xf>
    <xf numFmtId="0" fontId="0" fillId="0" borderId="0" xfId="0" pivotButton="1"/>
    <xf numFmtId="0" fontId="0" fillId="0" borderId="0" xfId="0" applyAlignment="1">
      <alignment horizontal="left"/>
    </xf>
    <xf numFmtId="0" fontId="0" fillId="0" borderId="1" xfId="0" applyBorder="1"/>
    <xf numFmtId="165" fontId="0" fillId="0" borderId="1" xfId="0" applyNumberFormat="1" applyBorder="1"/>
    <xf numFmtId="165" fontId="0" fillId="0" borderId="0" xfId="0" applyNumberFormat="1"/>
    <xf numFmtId="10" fontId="0" fillId="0" borderId="1" xfId="0" applyNumberFormat="1" applyBorder="1"/>
    <xf numFmtId="10" fontId="0" fillId="0" borderId="0" xfId="0" applyNumberFormat="1"/>
    <xf numFmtId="2" fontId="1" fillId="0" borderId="1" xfId="0" applyNumberFormat="1" applyFont="1" applyBorder="1" applyAlignment="1">
      <alignment horizontal="center" vertical="top"/>
    </xf>
    <xf numFmtId="2" fontId="0" fillId="0" borderId="0" xfId="0" applyNumberFormat="1"/>
    <xf numFmtId="165" fontId="1" fillId="0" borderId="1" xfId="0" applyNumberFormat="1"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[Excel_Main_Project_Sales_Analysis (1).xlsx]Pivot tables 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MONTH</a:t>
            </a:r>
          </a:p>
        </c:rich>
      </c:tx>
      <c:layout>
        <c:manualLayout>
          <c:xMode val="edge"/>
          <c:yMode val="edge"/>
          <c:x val="0.25465105323373038"/>
          <c:y val="5.811159615410767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1'!$C$3</c:f>
              <c:strCache>
                <c:ptCount val="1"/>
                <c:pt idx="0">
                  <c:v>Total</c:v>
                </c:pt>
              </c:strCache>
            </c:strRef>
          </c:tx>
          <c:spPr>
            <a:ln w="28575" cap="rnd">
              <a:solidFill>
                <a:schemeClr val="accent1"/>
              </a:solidFill>
              <a:round/>
            </a:ln>
            <a:effectLst/>
          </c:spPr>
          <c:marker>
            <c:symbol val="none"/>
          </c:marker>
          <c:cat>
            <c:strRef>
              <c:f>'Pivot tables 1'!$B$4:$B$12</c:f>
              <c:strCache>
                <c:ptCount val="8"/>
                <c:pt idx="0">
                  <c:v>Jan</c:v>
                </c:pt>
                <c:pt idx="1">
                  <c:v>Feb</c:v>
                </c:pt>
                <c:pt idx="2">
                  <c:v>Mar</c:v>
                </c:pt>
                <c:pt idx="3">
                  <c:v>Apr</c:v>
                </c:pt>
                <c:pt idx="4">
                  <c:v>May</c:v>
                </c:pt>
                <c:pt idx="5">
                  <c:v>Jun</c:v>
                </c:pt>
                <c:pt idx="6">
                  <c:v>Jul</c:v>
                </c:pt>
                <c:pt idx="7">
                  <c:v>Aug</c:v>
                </c:pt>
              </c:strCache>
            </c:strRef>
          </c:cat>
          <c:val>
            <c:numRef>
              <c:f>'Pivot tables 1'!$C$4:$C$12</c:f>
              <c:numCache>
                <c:formatCode>General</c:formatCode>
                <c:ptCount val="8"/>
                <c:pt idx="0">
                  <c:v>36000</c:v>
                </c:pt>
                <c:pt idx="1">
                  <c:v>108000</c:v>
                </c:pt>
                <c:pt idx="2">
                  <c:v>18000</c:v>
                </c:pt>
                <c:pt idx="3">
                  <c:v>90000</c:v>
                </c:pt>
                <c:pt idx="4">
                  <c:v>72000</c:v>
                </c:pt>
                <c:pt idx="5">
                  <c:v>90000</c:v>
                </c:pt>
                <c:pt idx="6">
                  <c:v>18000</c:v>
                </c:pt>
                <c:pt idx="7">
                  <c:v>90000</c:v>
                </c:pt>
              </c:numCache>
            </c:numRef>
          </c:val>
          <c:smooth val="0"/>
          <c:extLst>
            <c:ext xmlns:c16="http://schemas.microsoft.com/office/drawing/2014/chart" uri="{C3380CC4-5D6E-409C-BE32-E72D297353CC}">
              <c16:uniqueId val="{00000000-5318-430D-A266-5CEADD1B72DA}"/>
            </c:ext>
          </c:extLst>
        </c:ser>
        <c:dLbls>
          <c:showLegendKey val="0"/>
          <c:showVal val="0"/>
          <c:showCatName val="0"/>
          <c:showSerName val="0"/>
          <c:showPercent val="0"/>
          <c:showBubbleSize val="0"/>
        </c:dLbls>
        <c:smooth val="0"/>
        <c:axId val="32501439"/>
        <c:axId val="2089971071"/>
      </c:lineChart>
      <c:catAx>
        <c:axId val="32501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971071"/>
        <c:crosses val="autoZero"/>
        <c:auto val="1"/>
        <c:lblAlgn val="ctr"/>
        <c:lblOffset val="100"/>
        <c:noMultiLvlLbl val="0"/>
      </c:catAx>
      <c:valAx>
        <c:axId val="208997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01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[Excel_Main_Project_Sales_Analysis (1).xlsx]Pivot tables 1!PivotTable4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1'!$F$3</c:f>
              <c:strCache>
                <c:ptCount val="1"/>
                <c:pt idx="0">
                  <c:v>Total</c:v>
                </c:pt>
              </c:strCache>
            </c:strRef>
          </c:tx>
          <c:spPr>
            <a:solidFill>
              <a:schemeClr val="accent1"/>
            </a:solidFill>
            <a:ln>
              <a:noFill/>
            </a:ln>
            <a:effectLst/>
          </c:spPr>
          <c:invertIfNegative val="0"/>
          <c:cat>
            <c:strRef>
              <c:f>'Pivot tables 1'!$E$4:$E$5</c:f>
              <c:strCache>
                <c:ptCount val="1"/>
                <c:pt idx="0">
                  <c:v>Skincare</c:v>
                </c:pt>
              </c:strCache>
            </c:strRef>
          </c:cat>
          <c:val>
            <c:numRef>
              <c:f>'Pivot tables 1'!$F$4:$F$5</c:f>
              <c:numCache>
                <c:formatCode>General</c:formatCode>
                <c:ptCount val="1"/>
                <c:pt idx="0">
                  <c:v>522000</c:v>
                </c:pt>
              </c:numCache>
            </c:numRef>
          </c:val>
          <c:extLst>
            <c:ext xmlns:c16="http://schemas.microsoft.com/office/drawing/2014/chart" uri="{C3380CC4-5D6E-409C-BE32-E72D297353CC}">
              <c16:uniqueId val="{00000000-1434-43D8-970F-CEA118357D8C}"/>
            </c:ext>
          </c:extLst>
        </c:ser>
        <c:dLbls>
          <c:showLegendKey val="0"/>
          <c:showVal val="0"/>
          <c:showCatName val="0"/>
          <c:showSerName val="0"/>
          <c:showPercent val="0"/>
          <c:showBubbleSize val="0"/>
        </c:dLbls>
        <c:gapWidth val="219"/>
        <c:overlap val="-27"/>
        <c:axId val="2035504655"/>
        <c:axId val="1987061759"/>
      </c:barChart>
      <c:catAx>
        <c:axId val="203550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061759"/>
        <c:crosses val="autoZero"/>
        <c:auto val="1"/>
        <c:lblAlgn val="ctr"/>
        <c:lblOffset val="100"/>
        <c:noMultiLvlLbl val="0"/>
      </c:catAx>
      <c:valAx>
        <c:axId val="1987061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50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[Excel_Main_Project_Sales_Analysis (1).xlsx]Pivot tables 1!PivotTable5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layout>
        <c:manualLayout>
          <c:xMode val="edge"/>
          <c:yMode val="edge"/>
          <c:x val="0.24094349683862076"/>
          <c:y val="7.440169978752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1'!$I$3</c:f>
              <c:strCache>
                <c:ptCount val="1"/>
                <c:pt idx="0">
                  <c:v>Total</c:v>
                </c:pt>
              </c:strCache>
            </c:strRef>
          </c:tx>
          <c:spPr>
            <a:solidFill>
              <a:schemeClr val="accent1"/>
            </a:solidFill>
            <a:ln>
              <a:noFill/>
            </a:ln>
            <a:effectLst/>
          </c:spPr>
          <c:invertIfNegative val="0"/>
          <c:cat>
            <c:strRef>
              <c:f>'Pivot tables 1'!$H$4:$H$5</c:f>
              <c:strCache>
                <c:ptCount val="1"/>
                <c:pt idx="0">
                  <c:v>Product A</c:v>
                </c:pt>
              </c:strCache>
            </c:strRef>
          </c:cat>
          <c:val>
            <c:numRef>
              <c:f>'Pivot tables 1'!$I$4:$I$5</c:f>
              <c:numCache>
                <c:formatCode>General</c:formatCode>
                <c:ptCount val="1"/>
                <c:pt idx="0">
                  <c:v>522000</c:v>
                </c:pt>
              </c:numCache>
            </c:numRef>
          </c:val>
          <c:extLst>
            <c:ext xmlns:c16="http://schemas.microsoft.com/office/drawing/2014/chart" uri="{C3380CC4-5D6E-409C-BE32-E72D297353CC}">
              <c16:uniqueId val="{00000000-18DC-47E1-9693-DBE4E60B384A}"/>
            </c:ext>
          </c:extLst>
        </c:ser>
        <c:dLbls>
          <c:showLegendKey val="0"/>
          <c:showVal val="0"/>
          <c:showCatName val="0"/>
          <c:showSerName val="0"/>
          <c:showPercent val="0"/>
          <c:showBubbleSize val="0"/>
        </c:dLbls>
        <c:gapWidth val="219"/>
        <c:overlap val="-27"/>
        <c:axId val="31681023"/>
        <c:axId val="2089973951"/>
      </c:barChart>
      <c:catAx>
        <c:axId val="31681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973951"/>
        <c:crosses val="autoZero"/>
        <c:auto val="1"/>
        <c:lblAlgn val="ctr"/>
        <c:lblOffset val="100"/>
        <c:noMultiLvlLbl val="0"/>
      </c:catAx>
      <c:valAx>
        <c:axId val="2089973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81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[Excel_Main_Project_Sales_Analysis (1).xlsx]Pivot tables 1!PivotTable6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CUSTOMER</a:t>
            </a:r>
          </a:p>
        </c:rich>
      </c:tx>
      <c:layout>
        <c:manualLayout>
          <c:xMode val="edge"/>
          <c:yMode val="edge"/>
          <c:x val="0.32563712624157276"/>
          <c:y val="3.8487980839999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1'!$L$3</c:f>
              <c:strCache>
                <c:ptCount val="1"/>
                <c:pt idx="0">
                  <c:v>Total</c:v>
                </c:pt>
              </c:strCache>
            </c:strRef>
          </c:tx>
          <c:spPr>
            <a:solidFill>
              <a:schemeClr val="accent1"/>
            </a:solidFill>
            <a:ln>
              <a:noFill/>
            </a:ln>
            <a:effectLst/>
          </c:spPr>
          <c:invertIfNegative val="0"/>
          <c:cat>
            <c:strRef>
              <c:f>'Pivot tables 1'!$K$4:$K$7</c:f>
              <c:strCache>
                <c:ptCount val="3"/>
                <c:pt idx="0">
                  <c:v>Ada</c:v>
                </c:pt>
                <c:pt idx="1">
                  <c:v>Chika</c:v>
                </c:pt>
                <c:pt idx="2">
                  <c:v>Emeka</c:v>
                </c:pt>
              </c:strCache>
            </c:strRef>
          </c:cat>
          <c:val>
            <c:numRef>
              <c:f>'Pivot tables 1'!$L$4:$L$7</c:f>
              <c:numCache>
                <c:formatCode>General</c:formatCode>
                <c:ptCount val="3"/>
                <c:pt idx="0">
                  <c:v>306000</c:v>
                </c:pt>
                <c:pt idx="1">
                  <c:v>198000</c:v>
                </c:pt>
                <c:pt idx="2">
                  <c:v>18000</c:v>
                </c:pt>
              </c:numCache>
            </c:numRef>
          </c:val>
          <c:extLst>
            <c:ext xmlns:c16="http://schemas.microsoft.com/office/drawing/2014/chart" uri="{C3380CC4-5D6E-409C-BE32-E72D297353CC}">
              <c16:uniqueId val="{00000000-F35C-4100-8711-F4E206BA6B58}"/>
            </c:ext>
          </c:extLst>
        </c:ser>
        <c:dLbls>
          <c:showLegendKey val="0"/>
          <c:showVal val="0"/>
          <c:showCatName val="0"/>
          <c:showSerName val="0"/>
          <c:showPercent val="0"/>
          <c:showBubbleSize val="0"/>
        </c:dLbls>
        <c:gapWidth val="219"/>
        <c:overlap val="-27"/>
        <c:axId val="31674527"/>
        <c:axId val="2089966271"/>
      </c:barChart>
      <c:catAx>
        <c:axId val="31674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9966271"/>
        <c:crosses val="autoZero"/>
        <c:auto val="1"/>
        <c:lblAlgn val="ctr"/>
        <c:lblOffset val="100"/>
        <c:noMultiLvlLbl val="0"/>
      </c:catAx>
      <c:valAx>
        <c:axId val="208996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74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447675</xdr:colOff>
      <xdr:row>1</xdr:row>
      <xdr:rowOff>1</xdr:rowOff>
    </xdr:from>
    <xdr:to>
      <xdr:col>16</xdr:col>
      <xdr:colOff>438150</xdr:colOff>
      <xdr:row>6</xdr:row>
      <xdr:rowOff>0</xdr:rowOff>
    </xdr:to>
    <xdr:grpSp>
      <xdr:nvGrpSpPr>
        <xdr:cNvPr id="18" name="Group 17">
          <a:extLst>
            <a:ext uri="{FF2B5EF4-FFF2-40B4-BE49-F238E27FC236}">
              <a16:creationId xmlns:a16="http://schemas.microsoft.com/office/drawing/2014/main" id="{0C6BF3B7-E9F8-E194-D98B-384EE002A753}"/>
            </a:ext>
          </a:extLst>
        </xdr:cNvPr>
        <xdr:cNvGrpSpPr/>
      </xdr:nvGrpSpPr>
      <xdr:grpSpPr>
        <a:xfrm>
          <a:off x="2133600" y="190501"/>
          <a:ext cx="9286875" cy="952499"/>
          <a:chOff x="2895601" y="190501"/>
          <a:chExt cx="8658224" cy="952499"/>
        </a:xfrm>
      </xdr:grpSpPr>
      <xdr:sp macro="" textlink="">
        <xdr:nvSpPr>
          <xdr:cNvPr id="2" name="Rectangle: Rounded Corners 1">
            <a:extLst>
              <a:ext uri="{FF2B5EF4-FFF2-40B4-BE49-F238E27FC236}">
                <a16:creationId xmlns:a16="http://schemas.microsoft.com/office/drawing/2014/main" id="{C23B0FAD-01B4-DF4A-5B45-393C0560DB52}"/>
              </a:ext>
            </a:extLst>
          </xdr:cNvPr>
          <xdr:cNvSpPr/>
        </xdr:nvSpPr>
        <xdr:spPr>
          <a:xfrm>
            <a:off x="2895601" y="190501"/>
            <a:ext cx="1666874" cy="923924"/>
          </a:xfrm>
          <a:prstGeom prst="roundRect">
            <a:avLst/>
          </a:prstGeom>
          <a:solidFill>
            <a:schemeClr val="bg1"/>
          </a:solidFill>
          <a:ln>
            <a:solidFill>
              <a:schemeClr val="bg1">
                <a:lumMod val="8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1100"/>
          </a:p>
        </xdr:txBody>
      </xdr:sp>
      <xdr:sp macro="" textlink="">
        <xdr:nvSpPr>
          <xdr:cNvPr id="3" name="TextBox 2">
            <a:extLst>
              <a:ext uri="{FF2B5EF4-FFF2-40B4-BE49-F238E27FC236}">
                <a16:creationId xmlns:a16="http://schemas.microsoft.com/office/drawing/2014/main" id="{21720F89-16DF-01EF-DEE2-CD1FD96B460D}"/>
              </a:ext>
            </a:extLst>
          </xdr:cNvPr>
          <xdr:cNvSpPr txBox="1"/>
        </xdr:nvSpPr>
        <xdr:spPr>
          <a:xfrm>
            <a:off x="3133725" y="314325"/>
            <a:ext cx="1228725" cy="6191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t>TOTAL</a:t>
            </a:r>
            <a:r>
              <a:rPr lang="en-US" sz="900" baseline="0"/>
              <a:t> SALES</a:t>
            </a:r>
          </a:p>
          <a:p>
            <a:pPr algn="ctr"/>
            <a:endParaRPr lang="en-US" sz="900"/>
          </a:p>
        </xdr:txBody>
      </xdr:sp>
      <xdr:sp macro="" textlink="'Raw Data'!J3">
        <xdr:nvSpPr>
          <xdr:cNvPr id="7" name="TextBox 6">
            <a:extLst>
              <a:ext uri="{FF2B5EF4-FFF2-40B4-BE49-F238E27FC236}">
                <a16:creationId xmlns:a16="http://schemas.microsoft.com/office/drawing/2014/main" id="{84F38E58-88FB-E8C4-27DC-9B99B1669554}"/>
              </a:ext>
            </a:extLst>
          </xdr:cNvPr>
          <xdr:cNvSpPr txBox="1"/>
        </xdr:nvSpPr>
        <xdr:spPr>
          <a:xfrm>
            <a:off x="3076575" y="523875"/>
            <a:ext cx="1304925"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F449E5-C0C8-4635-B570-CF1282093366}" type="TxLink">
              <a:rPr lang="en-US" sz="2000" b="0" i="0" u="none" strike="noStrike">
                <a:solidFill>
                  <a:srgbClr val="000000"/>
                </a:solidFill>
                <a:latin typeface="Calibri"/>
                <a:cs typeface="Calibri"/>
              </a:rPr>
              <a:pPr algn="ctr"/>
              <a:t>1197000</a:t>
            </a:fld>
            <a:endParaRPr lang="en-US" sz="2000"/>
          </a:p>
        </xdr:txBody>
      </xdr:sp>
      <xdr:sp macro="" textlink="">
        <xdr:nvSpPr>
          <xdr:cNvPr id="8" name="Rectangle: Rounded Corners 7">
            <a:extLst>
              <a:ext uri="{FF2B5EF4-FFF2-40B4-BE49-F238E27FC236}">
                <a16:creationId xmlns:a16="http://schemas.microsoft.com/office/drawing/2014/main" id="{BFC45428-23F4-C91D-E76C-777BA0778766}"/>
              </a:ext>
            </a:extLst>
          </xdr:cNvPr>
          <xdr:cNvSpPr/>
        </xdr:nvSpPr>
        <xdr:spPr>
          <a:xfrm>
            <a:off x="5267325" y="190501"/>
            <a:ext cx="1609725" cy="914400"/>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9" name="TextBox 8">
            <a:extLst>
              <a:ext uri="{FF2B5EF4-FFF2-40B4-BE49-F238E27FC236}">
                <a16:creationId xmlns:a16="http://schemas.microsoft.com/office/drawing/2014/main" id="{13F1697B-233B-4CEA-2865-8878845C812E}"/>
              </a:ext>
            </a:extLst>
          </xdr:cNvPr>
          <xdr:cNvSpPr txBox="1"/>
        </xdr:nvSpPr>
        <xdr:spPr>
          <a:xfrm>
            <a:off x="5448300" y="285750"/>
            <a:ext cx="1123950" cy="3524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t>TOTAL ORDER</a:t>
            </a:r>
          </a:p>
        </xdr:txBody>
      </xdr:sp>
      <xdr:sp macro="" textlink="'Raw Data'!J6">
        <xdr:nvSpPr>
          <xdr:cNvPr id="10" name="TextBox 9">
            <a:extLst>
              <a:ext uri="{FF2B5EF4-FFF2-40B4-BE49-F238E27FC236}">
                <a16:creationId xmlns:a16="http://schemas.microsoft.com/office/drawing/2014/main" id="{8E14E4B5-A47C-7D3A-C505-740B82C72601}"/>
              </a:ext>
            </a:extLst>
          </xdr:cNvPr>
          <xdr:cNvSpPr txBox="1"/>
        </xdr:nvSpPr>
        <xdr:spPr>
          <a:xfrm>
            <a:off x="5334000" y="523875"/>
            <a:ext cx="87630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B1EFCDD-32AA-4154-8E5F-0C8FB97434F0}" type="TxLink">
              <a:rPr lang="en-US" sz="2000" b="0" i="0" u="none" strike="noStrike">
                <a:solidFill>
                  <a:srgbClr val="000000"/>
                </a:solidFill>
                <a:latin typeface="Calibri"/>
                <a:cs typeface="Calibri"/>
              </a:rPr>
              <a:pPr algn="ctr"/>
              <a:t>50</a:t>
            </a:fld>
            <a:endParaRPr lang="en-US" sz="2000"/>
          </a:p>
        </xdr:txBody>
      </xdr:sp>
      <xdr:sp macro="" textlink="">
        <xdr:nvSpPr>
          <xdr:cNvPr id="11" name="Rectangle: Rounded Corners 10">
            <a:extLst>
              <a:ext uri="{FF2B5EF4-FFF2-40B4-BE49-F238E27FC236}">
                <a16:creationId xmlns:a16="http://schemas.microsoft.com/office/drawing/2014/main" id="{E7350AD5-4349-6F27-3BF1-96F3FB60D173}"/>
              </a:ext>
            </a:extLst>
          </xdr:cNvPr>
          <xdr:cNvSpPr/>
        </xdr:nvSpPr>
        <xdr:spPr>
          <a:xfrm>
            <a:off x="7391400" y="209550"/>
            <a:ext cx="1704975" cy="885825"/>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2" name="TextBox 11">
            <a:extLst>
              <a:ext uri="{FF2B5EF4-FFF2-40B4-BE49-F238E27FC236}">
                <a16:creationId xmlns:a16="http://schemas.microsoft.com/office/drawing/2014/main" id="{1CC357E3-827C-D49D-0C3F-7A3AFA8A3546}"/>
              </a:ext>
            </a:extLst>
          </xdr:cNvPr>
          <xdr:cNvSpPr txBox="1"/>
        </xdr:nvSpPr>
        <xdr:spPr>
          <a:xfrm>
            <a:off x="7467600" y="361950"/>
            <a:ext cx="1057275"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t>AOV</a:t>
            </a:r>
          </a:p>
        </xdr:txBody>
      </xdr:sp>
      <xdr:sp macro="" textlink="'Raw Data'!J9">
        <xdr:nvSpPr>
          <xdr:cNvPr id="13" name="TextBox 12">
            <a:extLst>
              <a:ext uri="{FF2B5EF4-FFF2-40B4-BE49-F238E27FC236}">
                <a16:creationId xmlns:a16="http://schemas.microsoft.com/office/drawing/2014/main" id="{2DDD25BB-E58D-16CF-F40A-E5B72D057107}"/>
              </a:ext>
            </a:extLst>
          </xdr:cNvPr>
          <xdr:cNvSpPr txBox="1"/>
        </xdr:nvSpPr>
        <xdr:spPr>
          <a:xfrm>
            <a:off x="7505700" y="542925"/>
            <a:ext cx="1381125" cy="419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664A1CA-F2DA-46A3-B960-A01D93922B93}" type="TxLink">
              <a:rPr lang="en-US" sz="2000" b="0" i="0" u="none" strike="noStrike">
                <a:solidFill>
                  <a:srgbClr val="000000"/>
                </a:solidFill>
                <a:latin typeface="Calibri"/>
                <a:cs typeface="Calibri"/>
              </a:rPr>
              <a:pPr algn="ctr"/>
              <a:t>23940</a:t>
            </a:fld>
            <a:endParaRPr lang="en-US" sz="2000"/>
          </a:p>
        </xdr:txBody>
      </xdr:sp>
      <xdr:sp macro="" textlink="">
        <xdr:nvSpPr>
          <xdr:cNvPr id="14" name="Rectangle: Rounded Corners 13">
            <a:extLst>
              <a:ext uri="{FF2B5EF4-FFF2-40B4-BE49-F238E27FC236}">
                <a16:creationId xmlns:a16="http://schemas.microsoft.com/office/drawing/2014/main" id="{2FC76B70-932F-9A76-83D5-2A6AC284ACA5}"/>
              </a:ext>
            </a:extLst>
          </xdr:cNvPr>
          <xdr:cNvSpPr/>
        </xdr:nvSpPr>
        <xdr:spPr>
          <a:xfrm>
            <a:off x="9820275" y="247650"/>
            <a:ext cx="1733550" cy="895350"/>
          </a:xfrm>
          <a:prstGeom prst="roundRect">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a:p>
        </xdr:txBody>
      </xdr:sp>
      <xdr:sp macro="" textlink="">
        <xdr:nvSpPr>
          <xdr:cNvPr id="15" name="TextBox 14">
            <a:extLst>
              <a:ext uri="{FF2B5EF4-FFF2-40B4-BE49-F238E27FC236}">
                <a16:creationId xmlns:a16="http://schemas.microsoft.com/office/drawing/2014/main" id="{95EF4016-DD03-EA6A-08FC-99A4DE272CEB}"/>
              </a:ext>
            </a:extLst>
          </xdr:cNvPr>
          <xdr:cNvSpPr txBox="1"/>
        </xdr:nvSpPr>
        <xdr:spPr>
          <a:xfrm>
            <a:off x="9906000" y="400050"/>
            <a:ext cx="1581150" cy="3143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a:t>BEST</a:t>
            </a:r>
            <a:r>
              <a:rPr lang="en-US" sz="900" baseline="0"/>
              <a:t> SELLING PRODUCT</a:t>
            </a:r>
            <a:endParaRPr lang="en-US" sz="900"/>
          </a:p>
        </xdr:txBody>
      </xdr:sp>
      <xdr:sp macro="" textlink="'Raw Data'!J13">
        <xdr:nvSpPr>
          <xdr:cNvPr id="16" name="TextBox 15">
            <a:extLst>
              <a:ext uri="{FF2B5EF4-FFF2-40B4-BE49-F238E27FC236}">
                <a16:creationId xmlns:a16="http://schemas.microsoft.com/office/drawing/2014/main" id="{61A63FD8-F7FD-AC0D-3358-676360B917AE}"/>
              </a:ext>
            </a:extLst>
          </xdr:cNvPr>
          <xdr:cNvSpPr txBox="1"/>
        </xdr:nvSpPr>
        <xdr:spPr>
          <a:xfrm>
            <a:off x="9934575" y="657225"/>
            <a:ext cx="1371600" cy="3333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921242-0CA7-4439-B573-ABB93B2728E3}" type="TxLink">
              <a:rPr lang="en-US" sz="2000" b="0" i="0" u="none" strike="noStrike">
                <a:solidFill>
                  <a:srgbClr val="000000"/>
                </a:solidFill>
                <a:latin typeface="Calibri"/>
                <a:cs typeface="Calibri"/>
              </a:rPr>
              <a:pPr algn="ctr"/>
              <a:t>Product A</a:t>
            </a:fld>
            <a:endParaRPr lang="en-US" sz="2000"/>
          </a:p>
        </xdr:txBody>
      </xdr:sp>
    </xdr:grpSp>
    <xdr:clientData/>
  </xdr:twoCellAnchor>
  <xdr:twoCellAnchor>
    <xdr:from>
      <xdr:col>3</xdr:col>
      <xdr:colOff>495300</xdr:colOff>
      <xdr:row>6</xdr:row>
      <xdr:rowOff>161925</xdr:rowOff>
    </xdr:from>
    <xdr:to>
      <xdr:col>9</xdr:col>
      <xdr:colOff>552450</xdr:colOff>
      <xdr:row>16</xdr:row>
      <xdr:rowOff>95250</xdr:rowOff>
    </xdr:to>
    <xdr:graphicFrame macro="">
      <xdr:nvGraphicFramePr>
        <xdr:cNvPr id="19" name="Chart 18">
          <a:extLst>
            <a:ext uri="{FF2B5EF4-FFF2-40B4-BE49-F238E27FC236}">
              <a16:creationId xmlns:a16="http://schemas.microsoft.com/office/drawing/2014/main" id="{1C37EEDF-CC15-4073-98C7-5B7B3A776F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523874</xdr:colOff>
      <xdr:row>18</xdr:row>
      <xdr:rowOff>28575</xdr:rowOff>
    </xdr:from>
    <xdr:to>
      <xdr:col>10</xdr:col>
      <xdr:colOff>380999</xdr:colOff>
      <xdr:row>29</xdr:row>
      <xdr:rowOff>171450</xdr:rowOff>
    </xdr:to>
    <xdr:graphicFrame macro="">
      <xdr:nvGraphicFramePr>
        <xdr:cNvPr id="20" name="Chart 19">
          <a:extLst>
            <a:ext uri="{FF2B5EF4-FFF2-40B4-BE49-F238E27FC236}">
              <a16:creationId xmlns:a16="http://schemas.microsoft.com/office/drawing/2014/main" id="{801CB374-295E-4B9E-8BF0-22BB0480D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342899</xdr:colOff>
      <xdr:row>6</xdr:row>
      <xdr:rowOff>171450</xdr:rowOff>
    </xdr:from>
    <xdr:to>
      <xdr:col>17</xdr:col>
      <xdr:colOff>295274</xdr:colOff>
      <xdr:row>17</xdr:row>
      <xdr:rowOff>76200</xdr:rowOff>
    </xdr:to>
    <xdr:graphicFrame macro="">
      <xdr:nvGraphicFramePr>
        <xdr:cNvPr id="21" name="Chart 20">
          <a:extLst>
            <a:ext uri="{FF2B5EF4-FFF2-40B4-BE49-F238E27FC236}">
              <a16:creationId xmlns:a16="http://schemas.microsoft.com/office/drawing/2014/main" id="{49098040-1130-4556-BDE4-F008AC9C3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361950</xdr:colOff>
      <xdr:row>19</xdr:row>
      <xdr:rowOff>28575</xdr:rowOff>
    </xdr:from>
    <xdr:to>
      <xdr:col>17</xdr:col>
      <xdr:colOff>590550</xdr:colOff>
      <xdr:row>31</xdr:row>
      <xdr:rowOff>52387</xdr:rowOff>
    </xdr:to>
    <xdr:graphicFrame macro="">
      <xdr:nvGraphicFramePr>
        <xdr:cNvPr id="22" name="Chart 21">
          <a:extLst>
            <a:ext uri="{FF2B5EF4-FFF2-40B4-BE49-F238E27FC236}">
              <a16:creationId xmlns:a16="http://schemas.microsoft.com/office/drawing/2014/main" id="{1B8739E1-42C2-4CDE-AFDD-F2BE7B95B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228600</xdr:colOff>
      <xdr:row>6</xdr:row>
      <xdr:rowOff>38100</xdr:rowOff>
    </xdr:from>
    <xdr:to>
      <xdr:col>2</xdr:col>
      <xdr:colOff>295275</xdr:colOff>
      <xdr:row>15</xdr:row>
      <xdr:rowOff>180975</xdr:rowOff>
    </xdr:to>
    <mc:AlternateContent xmlns:mc="http://schemas.openxmlformats.org/markup-compatibility/2006" xmlns:a14="http://schemas.microsoft.com/office/drawing/2010/main">
      <mc:Choice Requires="a14">
        <xdr:graphicFrame macro="">
          <xdr:nvGraphicFramePr>
            <xdr:cNvPr id="32" name="Category">
              <a:extLst>
                <a:ext uri="{FF2B5EF4-FFF2-40B4-BE49-F238E27FC236}">
                  <a16:creationId xmlns:a16="http://schemas.microsoft.com/office/drawing/2014/main" id="{F02788F5-1148-606C-91E4-D02B9EF8F5F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28600" y="1181100"/>
              <a:ext cx="175260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47625</xdr:rowOff>
    </xdr:from>
    <xdr:to>
      <xdr:col>4</xdr:col>
      <xdr:colOff>238125</xdr:colOff>
      <xdr:row>24</xdr:row>
      <xdr:rowOff>85725</xdr:rowOff>
    </xdr:to>
    <mc:AlternateContent xmlns:mc="http://schemas.openxmlformats.org/markup-compatibility/2006" xmlns:tsle="http://schemas.microsoft.com/office/drawing/2012/timeslicer">
      <mc:Choice Requires="tsle">
        <xdr:graphicFrame macro="">
          <xdr:nvGraphicFramePr>
            <xdr:cNvPr id="33" name="Order Date">
              <a:extLst>
                <a:ext uri="{FF2B5EF4-FFF2-40B4-BE49-F238E27FC236}">
                  <a16:creationId xmlns:a16="http://schemas.microsoft.com/office/drawing/2014/main" id="{86731F53-2F77-EA15-E7FE-47CAAD0C5BB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3286125"/>
              <a:ext cx="31432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0.382755671293" createdVersion="8" refreshedVersion="8" minRefreshableVersion="3" recordCount="50" xr:uid="{EF9F5846-3599-419F-A1CB-682A938C85F5}">
  <cacheSource type="worksheet">
    <worksheetSource ref="A1:G51" sheet="Raw Data"/>
  </cacheSource>
  <cacheFields count="9">
    <cacheField name="Order ID" numFmtId="0">
      <sharedItems containsSemiMixedTypes="0" containsString="0" containsNumber="1" containsInteger="1" minValue="1001" maxValue="1050" count="5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sharedItems>
    </cacheField>
    <cacheField name="Order Date" numFmtId="164">
      <sharedItems containsSemiMixedTypes="0" containsNonDate="0" containsDate="1" containsString="0" minDate="2026-01-03T00:00:00" maxDate="2026-08-30T00:00:00" count="50">
        <d v="2026-01-03T00:00:00"/>
        <d v="2026-01-05T00:00:00"/>
        <d v="2026-01-08T00:00:00"/>
        <d v="2026-01-12T00:00:00"/>
        <d v="2026-01-18T00:00:00"/>
        <d v="2026-01-22T00:00:00"/>
        <d v="2026-01-28T00:00:00"/>
        <d v="2026-02-02T00:00:00"/>
        <d v="2026-02-06T00:00:00"/>
        <d v="2026-02-09T00:00:00"/>
        <d v="2026-02-14T00:00:00"/>
        <d v="2026-02-19T00:00:00"/>
        <d v="2026-02-24T00:00:00"/>
        <d v="2026-02-27T00:00:00"/>
        <d v="2026-03-03T00:00:00"/>
        <d v="2026-03-07T00:00:00"/>
        <d v="2026-03-10T00:00:00"/>
        <d v="2026-03-15T00:00:00"/>
        <d v="2026-03-18T00:00:00"/>
        <d v="2026-03-25T00:00:00"/>
        <d v="2026-04-02T00:00:00"/>
        <d v="2026-04-06T00:00:00"/>
        <d v="2026-04-11T00:00:00"/>
        <d v="2026-04-15T00:00:00"/>
        <d v="2026-04-20T00:00:00"/>
        <d v="2026-04-28T00:00:00"/>
        <d v="2026-05-03T00:00:00"/>
        <d v="2026-05-07T00:00:00"/>
        <d v="2026-05-12T00:00:00"/>
        <d v="2026-05-18T00:00:00"/>
        <d v="2026-05-23T00:00:00"/>
        <d v="2026-05-29T00:00:00"/>
        <d v="2026-06-02T00:00:00"/>
        <d v="2026-06-08T00:00:00"/>
        <d v="2026-06-13T00:00:00"/>
        <d v="2026-06-18T00:00:00"/>
        <d v="2026-06-24T00:00:00"/>
        <d v="2026-06-29T00:00:00"/>
        <d v="2026-07-04T00:00:00"/>
        <d v="2026-07-09T00:00:00"/>
        <d v="2026-07-14T00:00:00"/>
        <d v="2026-07-19T00:00:00"/>
        <d v="2026-07-23T00:00:00"/>
        <d v="2026-07-28T00:00:00"/>
        <d v="2026-08-03T00:00:00"/>
        <d v="2026-08-08T00:00:00"/>
        <d v="2026-08-12T00:00:00"/>
        <d v="2026-08-17T00:00:00"/>
        <d v="2026-08-22T00:00:00"/>
        <d v="2026-08-29T00:00:00"/>
      </sharedItems>
      <fieldGroup par="8"/>
    </cacheField>
    <cacheField name="Product" numFmtId="0">
      <sharedItems count="4">
        <s v="Product A"/>
        <s v="Product B"/>
        <s v="Product C"/>
        <s v="Product D"/>
      </sharedItems>
    </cacheField>
    <cacheField name="Category" numFmtId="0">
      <sharedItems count="3">
        <s v="Skincare"/>
        <s v="Haircare"/>
        <s v="Body Care"/>
      </sharedItems>
    </cacheField>
    <cacheField name="Customer" numFmtId="0">
      <sharedItems count="4">
        <s v="Ada"/>
        <s v="Tolu"/>
        <s v="Chika"/>
        <s v="Emeka"/>
      </sharedItems>
    </cacheField>
    <cacheField name="Quantity" numFmtId="0">
      <sharedItems containsSemiMixedTypes="0" containsString="0" containsNumber="1" containsInteger="1" minValue="1" maxValue="3" count="3">
        <n v="2"/>
        <n v="1"/>
        <n v="3"/>
      </sharedItems>
    </cacheField>
    <cacheField name="Sales" numFmtId="0">
      <sharedItems containsSemiMixedTypes="0" containsString="0" containsNumber="1" containsInteger="1" minValue="10000" maxValue="54000" count="9">
        <n v="18000"/>
        <n v="15000"/>
        <n v="25000"/>
        <n v="10000"/>
        <n v="30000"/>
        <n v="12500"/>
        <n v="36000"/>
        <n v="20000"/>
        <n v="54000"/>
      </sharedItems>
    </cacheField>
    <cacheField name="Days (Order Date)" numFmtId="0" databaseField="0">
      <fieldGroup base="1">
        <rangePr groupBy="days" startDate="2026-01-03T00:00:00" endDate="2026-08-30T00:00:00"/>
        <groupItems count="368">
          <s v="&lt;1/3/2026"/>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8/30/2026"/>
        </groupItems>
      </fieldGroup>
    </cacheField>
    <cacheField name="Months (Order Date)" numFmtId="0" databaseField="0">
      <fieldGroup base="1">
        <rangePr groupBy="months" startDate="2026-01-03T00:00:00" endDate="2026-08-30T00:00:00"/>
        <groupItems count="14">
          <s v="&lt;1/3/2026"/>
          <s v="Jan"/>
          <s v="Feb"/>
          <s v="Mar"/>
          <s v="Apr"/>
          <s v="May"/>
          <s v="Jun"/>
          <s v="Jul"/>
          <s v="Aug"/>
          <s v="Sep"/>
          <s v="Oct"/>
          <s v="Nov"/>
          <s v="Dec"/>
          <s v="&gt;8/30/2026"/>
        </groupItems>
      </fieldGroup>
    </cacheField>
  </cacheFields>
  <extLst>
    <ext xmlns:x14="http://schemas.microsoft.com/office/spreadsheetml/2009/9/main" uri="{725AE2AE-9491-48be-B2B4-4EB974FC3084}">
      <x14:pivotCacheDefinition pivotCacheId="17802418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x v="0"/>
    <x v="0"/>
    <x v="0"/>
  </r>
  <r>
    <x v="1"/>
    <x v="1"/>
    <x v="1"/>
    <x v="1"/>
    <x v="1"/>
    <x v="1"/>
    <x v="1"/>
  </r>
  <r>
    <x v="2"/>
    <x v="2"/>
    <x v="2"/>
    <x v="2"/>
    <x v="2"/>
    <x v="0"/>
    <x v="2"/>
  </r>
  <r>
    <x v="3"/>
    <x v="3"/>
    <x v="0"/>
    <x v="0"/>
    <x v="3"/>
    <x v="1"/>
    <x v="0"/>
  </r>
  <r>
    <x v="4"/>
    <x v="4"/>
    <x v="3"/>
    <x v="1"/>
    <x v="0"/>
    <x v="1"/>
    <x v="3"/>
  </r>
  <r>
    <x v="5"/>
    <x v="5"/>
    <x v="1"/>
    <x v="1"/>
    <x v="1"/>
    <x v="0"/>
    <x v="4"/>
  </r>
  <r>
    <x v="6"/>
    <x v="6"/>
    <x v="2"/>
    <x v="2"/>
    <x v="2"/>
    <x v="1"/>
    <x v="5"/>
  </r>
  <r>
    <x v="7"/>
    <x v="7"/>
    <x v="0"/>
    <x v="0"/>
    <x v="0"/>
    <x v="0"/>
    <x v="6"/>
  </r>
  <r>
    <x v="8"/>
    <x v="8"/>
    <x v="3"/>
    <x v="1"/>
    <x v="3"/>
    <x v="0"/>
    <x v="7"/>
  </r>
  <r>
    <x v="9"/>
    <x v="9"/>
    <x v="1"/>
    <x v="1"/>
    <x v="1"/>
    <x v="1"/>
    <x v="1"/>
  </r>
  <r>
    <x v="10"/>
    <x v="10"/>
    <x v="2"/>
    <x v="2"/>
    <x v="0"/>
    <x v="0"/>
    <x v="2"/>
  </r>
  <r>
    <x v="11"/>
    <x v="11"/>
    <x v="0"/>
    <x v="0"/>
    <x v="2"/>
    <x v="1"/>
    <x v="0"/>
  </r>
  <r>
    <x v="12"/>
    <x v="12"/>
    <x v="3"/>
    <x v="1"/>
    <x v="3"/>
    <x v="1"/>
    <x v="3"/>
  </r>
  <r>
    <x v="13"/>
    <x v="13"/>
    <x v="0"/>
    <x v="0"/>
    <x v="0"/>
    <x v="2"/>
    <x v="8"/>
  </r>
  <r>
    <x v="14"/>
    <x v="14"/>
    <x v="1"/>
    <x v="1"/>
    <x v="1"/>
    <x v="0"/>
    <x v="4"/>
  </r>
  <r>
    <x v="15"/>
    <x v="15"/>
    <x v="2"/>
    <x v="2"/>
    <x v="2"/>
    <x v="1"/>
    <x v="5"/>
  </r>
  <r>
    <x v="16"/>
    <x v="16"/>
    <x v="0"/>
    <x v="0"/>
    <x v="0"/>
    <x v="1"/>
    <x v="0"/>
  </r>
  <r>
    <x v="17"/>
    <x v="17"/>
    <x v="3"/>
    <x v="1"/>
    <x v="3"/>
    <x v="2"/>
    <x v="4"/>
  </r>
  <r>
    <x v="18"/>
    <x v="18"/>
    <x v="1"/>
    <x v="1"/>
    <x v="1"/>
    <x v="1"/>
    <x v="1"/>
  </r>
  <r>
    <x v="19"/>
    <x v="19"/>
    <x v="2"/>
    <x v="2"/>
    <x v="0"/>
    <x v="0"/>
    <x v="2"/>
  </r>
  <r>
    <x v="20"/>
    <x v="20"/>
    <x v="0"/>
    <x v="0"/>
    <x v="2"/>
    <x v="0"/>
    <x v="6"/>
  </r>
  <r>
    <x v="21"/>
    <x v="21"/>
    <x v="1"/>
    <x v="1"/>
    <x v="1"/>
    <x v="1"/>
    <x v="1"/>
  </r>
  <r>
    <x v="22"/>
    <x v="22"/>
    <x v="2"/>
    <x v="2"/>
    <x v="0"/>
    <x v="1"/>
    <x v="5"/>
  </r>
  <r>
    <x v="23"/>
    <x v="23"/>
    <x v="3"/>
    <x v="1"/>
    <x v="3"/>
    <x v="1"/>
    <x v="3"/>
  </r>
  <r>
    <x v="24"/>
    <x v="24"/>
    <x v="0"/>
    <x v="0"/>
    <x v="0"/>
    <x v="2"/>
    <x v="8"/>
  </r>
  <r>
    <x v="25"/>
    <x v="25"/>
    <x v="1"/>
    <x v="1"/>
    <x v="2"/>
    <x v="0"/>
    <x v="4"/>
  </r>
  <r>
    <x v="26"/>
    <x v="26"/>
    <x v="2"/>
    <x v="2"/>
    <x v="0"/>
    <x v="0"/>
    <x v="2"/>
  </r>
  <r>
    <x v="27"/>
    <x v="27"/>
    <x v="0"/>
    <x v="0"/>
    <x v="2"/>
    <x v="0"/>
    <x v="6"/>
  </r>
  <r>
    <x v="28"/>
    <x v="28"/>
    <x v="3"/>
    <x v="1"/>
    <x v="3"/>
    <x v="1"/>
    <x v="3"/>
  </r>
  <r>
    <x v="29"/>
    <x v="29"/>
    <x v="1"/>
    <x v="1"/>
    <x v="1"/>
    <x v="0"/>
    <x v="4"/>
  </r>
  <r>
    <x v="30"/>
    <x v="30"/>
    <x v="2"/>
    <x v="2"/>
    <x v="2"/>
    <x v="1"/>
    <x v="5"/>
  </r>
  <r>
    <x v="31"/>
    <x v="31"/>
    <x v="0"/>
    <x v="0"/>
    <x v="0"/>
    <x v="0"/>
    <x v="6"/>
  </r>
  <r>
    <x v="32"/>
    <x v="32"/>
    <x v="3"/>
    <x v="1"/>
    <x v="3"/>
    <x v="0"/>
    <x v="7"/>
  </r>
  <r>
    <x v="33"/>
    <x v="33"/>
    <x v="1"/>
    <x v="1"/>
    <x v="1"/>
    <x v="1"/>
    <x v="1"/>
  </r>
  <r>
    <x v="34"/>
    <x v="34"/>
    <x v="0"/>
    <x v="0"/>
    <x v="2"/>
    <x v="2"/>
    <x v="8"/>
  </r>
  <r>
    <x v="35"/>
    <x v="35"/>
    <x v="2"/>
    <x v="2"/>
    <x v="0"/>
    <x v="1"/>
    <x v="5"/>
  </r>
  <r>
    <x v="36"/>
    <x v="36"/>
    <x v="3"/>
    <x v="1"/>
    <x v="3"/>
    <x v="1"/>
    <x v="3"/>
  </r>
  <r>
    <x v="37"/>
    <x v="37"/>
    <x v="0"/>
    <x v="0"/>
    <x v="0"/>
    <x v="0"/>
    <x v="6"/>
  </r>
  <r>
    <x v="38"/>
    <x v="38"/>
    <x v="1"/>
    <x v="1"/>
    <x v="1"/>
    <x v="0"/>
    <x v="4"/>
  </r>
  <r>
    <x v="39"/>
    <x v="39"/>
    <x v="2"/>
    <x v="2"/>
    <x v="2"/>
    <x v="0"/>
    <x v="2"/>
  </r>
  <r>
    <x v="40"/>
    <x v="40"/>
    <x v="0"/>
    <x v="0"/>
    <x v="0"/>
    <x v="1"/>
    <x v="0"/>
  </r>
  <r>
    <x v="41"/>
    <x v="41"/>
    <x v="3"/>
    <x v="1"/>
    <x v="3"/>
    <x v="0"/>
    <x v="7"/>
  </r>
  <r>
    <x v="42"/>
    <x v="42"/>
    <x v="1"/>
    <x v="1"/>
    <x v="1"/>
    <x v="1"/>
    <x v="1"/>
  </r>
  <r>
    <x v="43"/>
    <x v="43"/>
    <x v="2"/>
    <x v="2"/>
    <x v="0"/>
    <x v="0"/>
    <x v="2"/>
  </r>
  <r>
    <x v="44"/>
    <x v="44"/>
    <x v="0"/>
    <x v="0"/>
    <x v="2"/>
    <x v="2"/>
    <x v="8"/>
  </r>
  <r>
    <x v="45"/>
    <x v="45"/>
    <x v="1"/>
    <x v="1"/>
    <x v="1"/>
    <x v="0"/>
    <x v="4"/>
  </r>
  <r>
    <x v="46"/>
    <x v="46"/>
    <x v="2"/>
    <x v="2"/>
    <x v="0"/>
    <x v="1"/>
    <x v="5"/>
  </r>
  <r>
    <x v="47"/>
    <x v="47"/>
    <x v="3"/>
    <x v="1"/>
    <x v="3"/>
    <x v="1"/>
    <x v="3"/>
  </r>
  <r>
    <x v="48"/>
    <x v="48"/>
    <x v="0"/>
    <x v="0"/>
    <x v="0"/>
    <x v="0"/>
    <x v="6"/>
  </r>
  <r>
    <x v="49"/>
    <x v="49"/>
    <x v="1"/>
    <x v="1"/>
    <x v="2"/>
    <x v="0"/>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7B191-8407-4BEF-B551-0CCEF37AAC3D}"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K3:L7" firstHeaderRow="1" firstDataRow="1" firstDataCol="1"/>
  <pivotFields count="9">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4">
        <item h="1" x="2"/>
        <item h="1" x="1"/>
        <item x="0"/>
        <item t="default"/>
      </items>
    </pivotField>
    <pivotField axis="axisRow" showAll="0">
      <items count="5">
        <item x="0"/>
        <item x="2"/>
        <item x="3"/>
        <item x="1"/>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4">
    <i>
      <x/>
    </i>
    <i>
      <x v="1"/>
    </i>
    <i>
      <x v="2"/>
    </i>
    <i t="grand">
      <x/>
    </i>
  </rowItems>
  <colItems count="1">
    <i/>
  </colItems>
  <dataFields count="1">
    <dataField name="Sum of Sales" fld="6"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D9F158-BCA0-4536-8D68-23F9593ADF16}"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H3:I5" firstHeaderRow="1" firstDataRow="1" firstDataCol="1"/>
  <pivotFields count="9">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axis="axisRow" showAll="0">
      <items count="5">
        <item x="0"/>
        <item x="1"/>
        <item x="2"/>
        <item x="3"/>
        <item t="default"/>
      </items>
    </pivotField>
    <pivotField showAll="0">
      <items count="4">
        <item h="1" x="2"/>
        <item h="1" x="1"/>
        <item x="0"/>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
    <i>
      <x/>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7910AC-F4A3-47B6-9B18-FF02688C6C1A}"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E3:F5" firstHeaderRow="1" firstDataRow="1" firstDataCol="1"/>
  <pivotFields count="9">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axis="axisRow" showAll="0">
      <items count="4">
        <item h="1" x="2"/>
        <item h="1" x="1"/>
        <item x="0"/>
        <item t="default"/>
      </items>
    </pivotField>
    <pivotField showAll="0"/>
    <pivotField showAll="0"/>
    <pivotField dataField="1" showAll="0">
      <items count="10">
        <item x="3"/>
        <item x="5"/>
        <item x="1"/>
        <item x="0"/>
        <item x="7"/>
        <item x="2"/>
        <item x="4"/>
        <item x="6"/>
        <item x="8"/>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v="2"/>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3E53C3-36D0-4EF0-A87D-AC4D0D1742CB}"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B3:C12" firstHeaderRow="1" firstDataRow="1" firstDataCol="1"/>
  <pivotFields count="9">
    <pivotField showAll="0"/>
    <pivotField numFmtId="164"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showAll="0"/>
    <pivotField showAll="0">
      <items count="4">
        <item h="1" x="2"/>
        <item h="1" x="1"/>
        <item x="0"/>
        <item t="default"/>
      </items>
    </pivotField>
    <pivotField showAll="0"/>
    <pivotField showAll="0"/>
    <pivotField dataField="1" showAll="0"/>
    <pivotField showAll="0" defaultSubtotal="0"/>
    <pivotField axis="axisRow" showAll="0" defaultSubtotal="0">
      <items count="14">
        <item x="0"/>
        <item x="1"/>
        <item x="2"/>
        <item x="3"/>
        <item x="4"/>
        <item x="5"/>
        <item x="6"/>
        <item x="7"/>
        <item x="8"/>
        <item x="9"/>
        <item x="10"/>
        <item x="11"/>
        <item x="12"/>
        <item x="13"/>
      </items>
    </pivotField>
  </pivotFields>
  <rowFields count="1">
    <field x="8"/>
  </rowFields>
  <rowItems count="9">
    <i>
      <x v="1"/>
    </i>
    <i>
      <x v="2"/>
    </i>
    <i>
      <x v="3"/>
    </i>
    <i>
      <x v="4"/>
    </i>
    <i>
      <x v="5"/>
    </i>
    <i>
      <x v="6"/>
    </i>
    <i>
      <x v="7"/>
    </i>
    <i>
      <x v="8"/>
    </i>
    <i t="grand">
      <x/>
    </i>
  </rowItems>
  <colItems count="1">
    <i/>
  </colItems>
  <dataFields count="1">
    <dataField name="Sum of Sales"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F2BCC7D-3790-4CEE-9CBE-F292D89D91C2}" sourceName="Category">
  <pivotTables>
    <pivotTable tabId="5" name="PivotTable3"/>
    <pivotTable tabId="5" name="PivotTable4"/>
    <pivotTable tabId="5" name="PivotTable5"/>
    <pivotTable tabId="5" name="PivotTable6"/>
  </pivotTables>
  <data>
    <tabular pivotCacheId="1780241867">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C32E29D-7901-4802-8F4A-6B45D77837F7}"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945B381-F60E-43D6-9FF2-DBE629650CB7}" sourceName="Order Date">
  <pivotTables>
    <pivotTable tabId="5" name="PivotTable3"/>
    <pivotTable tabId="5" name="PivotTable4"/>
    <pivotTable tabId="5" name="PivotTable5"/>
    <pivotTable tabId="5" name="PivotTable6"/>
  </pivotTables>
  <state minimalRefreshVersion="6" lastRefreshVersion="6" pivotCacheId="1780241867"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C0FA2D1-8F4D-4D83-BD64-9C79C913ABF5}" cache="NativeTimeline_Order_Date" caption="Order Date" level="2" selectionLevel="2" scrollPosition="2026-05-19T00:00:00"/>
</timeline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opLeftCell="B1" workbookViewId="0">
      <selection activeCell="I18" sqref="I18"/>
    </sheetView>
  </sheetViews>
  <sheetFormatPr defaultRowHeight="15" x14ac:dyDescent="0.25"/>
  <cols>
    <col min="2" max="2" width="26" customWidth="1"/>
    <col min="3" max="3" width="25.5703125" customWidth="1"/>
    <col min="4" max="4" width="24.140625" customWidth="1"/>
    <col min="5" max="5" width="22.42578125" customWidth="1"/>
    <col min="6" max="6" width="17.28515625" style="12" customWidth="1"/>
    <col min="7" max="7" width="19.5703125" style="8" customWidth="1"/>
    <col min="8" max="8" width="14.140625" customWidth="1"/>
    <col min="10" max="10" width="12.7109375" customWidth="1"/>
  </cols>
  <sheetData>
    <row r="1" spans="1:10" x14ac:dyDescent="0.25">
      <c r="A1" s="1" t="s">
        <v>0</v>
      </c>
      <c r="B1" s="1" t="s">
        <v>1</v>
      </c>
      <c r="C1" s="1" t="s">
        <v>2</v>
      </c>
      <c r="D1" s="1" t="s">
        <v>3</v>
      </c>
      <c r="E1" s="1" t="s">
        <v>4</v>
      </c>
      <c r="F1" s="11" t="s">
        <v>5</v>
      </c>
      <c r="G1" s="13" t="s">
        <v>6</v>
      </c>
      <c r="H1" s="3" t="s">
        <v>24</v>
      </c>
    </row>
    <row r="2" spans="1:10" x14ac:dyDescent="0.25">
      <c r="A2">
        <v>1001</v>
      </c>
      <c r="B2" s="2">
        <v>46025</v>
      </c>
      <c r="C2" t="s">
        <v>7</v>
      </c>
      <c r="D2" t="s">
        <v>8</v>
      </c>
      <c r="E2" t="s">
        <v>9</v>
      </c>
      <c r="F2" s="12">
        <v>2</v>
      </c>
      <c r="G2" s="8">
        <v>18000</v>
      </c>
      <c r="H2" t="s">
        <v>25</v>
      </c>
      <c r="J2" t="s">
        <v>42</v>
      </c>
    </row>
    <row r="3" spans="1:10" x14ac:dyDescent="0.25">
      <c r="A3">
        <v>1002</v>
      </c>
      <c r="B3" s="2">
        <v>46027</v>
      </c>
      <c r="C3" t="s">
        <v>10</v>
      </c>
      <c r="D3" t="s">
        <v>11</v>
      </c>
      <c r="E3" t="s">
        <v>12</v>
      </c>
      <c r="F3" s="12">
        <v>1</v>
      </c>
      <c r="G3" s="8">
        <v>15000</v>
      </c>
      <c r="J3">
        <f>SUM('Raw Data'!G2:G51)</f>
        <v>1197000</v>
      </c>
    </row>
    <row r="4" spans="1:10" x14ac:dyDescent="0.25">
      <c r="A4">
        <v>1003</v>
      </c>
      <c r="B4" s="2">
        <v>46030</v>
      </c>
      <c r="C4" t="s">
        <v>13</v>
      </c>
      <c r="D4" t="s">
        <v>14</v>
      </c>
      <c r="E4" t="s">
        <v>15</v>
      </c>
      <c r="F4" s="12">
        <v>2</v>
      </c>
      <c r="G4" s="8">
        <v>25000</v>
      </c>
    </row>
    <row r="5" spans="1:10" x14ac:dyDescent="0.25">
      <c r="A5">
        <v>1004</v>
      </c>
      <c r="B5" s="2">
        <v>46034</v>
      </c>
      <c r="C5" t="s">
        <v>7</v>
      </c>
      <c r="D5" t="s">
        <v>8</v>
      </c>
      <c r="E5" t="s">
        <v>16</v>
      </c>
      <c r="F5" s="12">
        <v>1</v>
      </c>
      <c r="G5" s="8">
        <v>18000</v>
      </c>
      <c r="J5" t="s">
        <v>43</v>
      </c>
    </row>
    <row r="6" spans="1:10" x14ac:dyDescent="0.25">
      <c r="A6">
        <v>1005</v>
      </c>
      <c r="B6" s="2">
        <v>46040</v>
      </c>
      <c r="C6" t="s">
        <v>17</v>
      </c>
      <c r="D6" t="s">
        <v>11</v>
      </c>
      <c r="E6" t="s">
        <v>9</v>
      </c>
      <c r="F6" s="12">
        <v>1</v>
      </c>
      <c r="G6" s="8">
        <v>10000</v>
      </c>
      <c r="J6">
        <f>COUNT('Raw Data'!F2:F51)</f>
        <v>50</v>
      </c>
    </row>
    <row r="7" spans="1:10" x14ac:dyDescent="0.25">
      <c r="A7">
        <v>1006</v>
      </c>
      <c r="B7" s="2">
        <v>46044</v>
      </c>
      <c r="C7" t="s">
        <v>10</v>
      </c>
      <c r="D7" t="s">
        <v>11</v>
      </c>
      <c r="E7" t="s">
        <v>12</v>
      </c>
      <c r="F7" s="12">
        <v>2</v>
      </c>
      <c r="G7" s="8">
        <v>30000</v>
      </c>
    </row>
    <row r="8" spans="1:10" x14ac:dyDescent="0.25">
      <c r="A8">
        <v>1007</v>
      </c>
      <c r="B8" s="2">
        <v>46050</v>
      </c>
      <c r="C8" t="s">
        <v>13</v>
      </c>
      <c r="D8" t="s">
        <v>14</v>
      </c>
      <c r="E8" t="s">
        <v>15</v>
      </c>
      <c r="F8" s="12">
        <v>1</v>
      </c>
      <c r="G8" s="8">
        <v>12500</v>
      </c>
      <c r="J8" t="s">
        <v>44</v>
      </c>
    </row>
    <row r="9" spans="1:10" x14ac:dyDescent="0.25">
      <c r="A9">
        <v>1008</v>
      </c>
      <c r="B9" s="2">
        <v>46055</v>
      </c>
      <c r="C9" t="s">
        <v>7</v>
      </c>
      <c r="D9" t="s">
        <v>8</v>
      </c>
      <c r="E9" t="s">
        <v>9</v>
      </c>
      <c r="F9" s="12">
        <v>2</v>
      </c>
      <c r="G9" s="8">
        <v>36000</v>
      </c>
      <c r="J9">
        <f>SUM('Raw Data'!G2:G51)/COUNT('Raw Data'!F2:F51)</f>
        <v>23940</v>
      </c>
    </row>
    <row r="10" spans="1:10" x14ac:dyDescent="0.25">
      <c r="A10">
        <v>1009</v>
      </c>
      <c r="B10" s="2">
        <v>46059</v>
      </c>
      <c r="C10" t="s">
        <v>17</v>
      </c>
      <c r="D10" t="s">
        <v>11</v>
      </c>
      <c r="E10" t="s">
        <v>16</v>
      </c>
      <c r="F10" s="12">
        <v>2</v>
      </c>
      <c r="G10" s="8">
        <v>20000</v>
      </c>
    </row>
    <row r="11" spans="1:10" x14ac:dyDescent="0.25">
      <c r="A11">
        <v>1010</v>
      </c>
      <c r="B11" s="2">
        <v>46062</v>
      </c>
      <c r="C11" t="s">
        <v>10</v>
      </c>
      <c r="D11" t="s">
        <v>11</v>
      </c>
      <c r="E11" t="s">
        <v>12</v>
      </c>
      <c r="F11" s="12">
        <v>1</v>
      </c>
      <c r="G11" s="8">
        <v>15000</v>
      </c>
    </row>
    <row r="12" spans="1:10" x14ac:dyDescent="0.25">
      <c r="A12">
        <v>1011</v>
      </c>
      <c r="B12" s="2">
        <v>46067</v>
      </c>
      <c r="C12" t="s">
        <v>13</v>
      </c>
      <c r="D12" t="s">
        <v>14</v>
      </c>
      <c r="E12" t="s">
        <v>9</v>
      </c>
      <c r="F12" s="12">
        <v>2</v>
      </c>
      <c r="G12" s="8">
        <v>25000</v>
      </c>
      <c r="J12" t="s">
        <v>45</v>
      </c>
    </row>
    <row r="13" spans="1:10" x14ac:dyDescent="0.25">
      <c r="A13">
        <v>1012</v>
      </c>
      <c r="B13" s="2">
        <v>46072</v>
      </c>
      <c r="C13" t="s">
        <v>7</v>
      </c>
      <c r="D13" t="s">
        <v>8</v>
      </c>
      <c r="E13" t="s">
        <v>15</v>
      </c>
      <c r="F13" s="12">
        <v>1</v>
      </c>
      <c r="G13" s="8">
        <v>18000</v>
      </c>
      <c r="J13" t="s">
        <v>7</v>
      </c>
    </row>
    <row r="14" spans="1:10" x14ac:dyDescent="0.25">
      <c r="A14">
        <v>1013</v>
      </c>
      <c r="B14" s="2">
        <v>46077</v>
      </c>
      <c r="C14" t="s">
        <v>17</v>
      </c>
      <c r="D14" t="s">
        <v>11</v>
      </c>
      <c r="E14" t="s">
        <v>16</v>
      </c>
      <c r="F14" s="12">
        <v>1</v>
      </c>
      <c r="G14" s="8">
        <v>10000</v>
      </c>
    </row>
    <row r="15" spans="1:10" x14ac:dyDescent="0.25">
      <c r="A15">
        <v>1014</v>
      </c>
      <c r="B15" s="2">
        <v>46080</v>
      </c>
      <c r="C15" t="s">
        <v>7</v>
      </c>
      <c r="D15" t="s">
        <v>8</v>
      </c>
      <c r="E15" t="s">
        <v>9</v>
      </c>
      <c r="F15" s="12">
        <v>3</v>
      </c>
      <c r="G15" s="8">
        <v>54000</v>
      </c>
    </row>
    <row r="16" spans="1:10" x14ac:dyDescent="0.25">
      <c r="A16">
        <v>1015</v>
      </c>
      <c r="B16" s="2">
        <v>46084</v>
      </c>
      <c r="C16" t="s">
        <v>10</v>
      </c>
      <c r="D16" t="s">
        <v>11</v>
      </c>
      <c r="E16" t="s">
        <v>12</v>
      </c>
      <c r="F16" s="12">
        <v>2</v>
      </c>
      <c r="G16" s="8">
        <v>30000</v>
      </c>
    </row>
    <row r="17" spans="1:7" x14ac:dyDescent="0.25">
      <c r="A17">
        <v>1016</v>
      </c>
      <c r="B17" s="2">
        <v>46088</v>
      </c>
      <c r="C17" t="s">
        <v>13</v>
      </c>
      <c r="D17" t="s">
        <v>14</v>
      </c>
      <c r="E17" t="s">
        <v>15</v>
      </c>
      <c r="F17" s="12">
        <v>1</v>
      </c>
      <c r="G17" s="8">
        <v>12500</v>
      </c>
    </row>
    <row r="18" spans="1:7" x14ac:dyDescent="0.25">
      <c r="A18">
        <v>1017</v>
      </c>
      <c r="B18" s="2">
        <v>46091</v>
      </c>
      <c r="C18" t="s">
        <v>7</v>
      </c>
      <c r="D18" t="s">
        <v>8</v>
      </c>
      <c r="E18" t="s">
        <v>9</v>
      </c>
      <c r="F18" s="12">
        <v>1</v>
      </c>
      <c r="G18" s="8">
        <v>18000</v>
      </c>
    </row>
    <row r="19" spans="1:7" x14ac:dyDescent="0.25">
      <c r="A19">
        <v>1018</v>
      </c>
      <c r="B19" s="2">
        <v>46096</v>
      </c>
      <c r="C19" t="s">
        <v>17</v>
      </c>
      <c r="D19" t="s">
        <v>11</v>
      </c>
      <c r="E19" t="s">
        <v>16</v>
      </c>
      <c r="F19" s="12">
        <v>3</v>
      </c>
      <c r="G19" s="8">
        <v>30000</v>
      </c>
    </row>
    <row r="20" spans="1:7" x14ac:dyDescent="0.25">
      <c r="A20">
        <v>1019</v>
      </c>
      <c r="B20" s="2">
        <v>46099</v>
      </c>
      <c r="C20" t="s">
        <v>10</v>
      </c>
      <c r="D20" t="s">
        <v>11</v>
      </c>
      <c r="E20" t="s">
        <v>12</v>
      </c>
      <c r="F20" s="12">
        <v>1</v>
      </c>
      <c r="G20" s="8">
        <v>15000</v>
      </c>
    </row>
    <row r="21" spans="1:7" x14ac:dyDescent="0.25">
      <c r="A21">
        <v>1020</v>
      </c>
      <c r="B21" s="2">
        <v>46106</v>
      </c>
      <c r="C21" t="s">
        <v>13</v>
      </c>
      <c r="D21" t="s">
        <v>14</v>
      </c>
      <c r="E21" t="s">
        <v>9</v>
      </c>
      <c r="F21" s="12">
        <v>2</v>
      </c>
      <c r="G21" s="8">
        <v>25000</v>
      </c>
    </row>
    <row r="22" spans="1:7" x14ac:dyDescent="0.25">
      <c r="A22">
        <v>1021</v>
      </c>
      <c r="B22" s="2">
        <v>46114</v>
      </c>
      <c r="C22" t="s">
        <v>7</v>
      </c>
      <c r="D22" t="s">
        <v>8</v>
      </c>
      <c r="E22" t="s">
        <v>15</v>
      </c>
      <c r="F22" s="12">
        <v>2</v>
      </c>
      <c r="G22" s="8">
        <v>36000</v>
      </c>
    </row>
    <row r="23" spans="1:7" x14ac:dyDescent="0.25">
      <c r="A23">
        <v>1022</v>
      </c>
      <c r="B23" s="2">
        <v>46118</v>
      </c>
      <c r="C23" t="s">
        <v>10</v>
      </c>
      <c r="D23" t="s">
        <v>11</v>
      </c>
      <c r="E23" t="s">
        <v>12</v>
      </c>
      <c r="F23" s="12">
        <v>1</v>
      </c>
      <c r="G23" s="8">
        <v>15000</v>
      </c>
    </row>
    <row r="24" spans="1:7" x14ac:dyDescent="0.25">
      <c r="A24">
        <v>1023</v>
      </c>
      <c r="B24" s="2">
        <v>46123</v>
      </c>
      <c r="C24" t="s">
        <v>13</v>
      </c>
      <c r="D24" t="s">
        <v>14</v>
      </c>
      <c r="E24" t="s">
        <v>9</v>
      </c>
      <c r="F24" s="12">
        <v>1</v>
      </c>
      <c r="G24" s="8">
        <v>12500</v>
      </c>
    </row>
    <row r="25" spans="1:7" x14ac:dyDescent="0.25">
      <c r="A25">
        <v>1024</v>
      </c>
      <c r="B25" s="2">
        <v>46127</v>
      </c>
      <c r="C25" t="s">
        <v>17</v>
      </c>
      <c r="D25" t="s">
        <v>11</v>
      </c>
      <c r="E25" t="s">
        <v>16</v>
      </c>
      <c r="F25" s="12">
        <v>1</v>
      </c>
      <c r="G25" s="8">
        <v>10000</v>
      </c>
    </row>
    <row r="26" spans="1:7" x14ac:dyDescent="0.25">
      <c r="A26">
        <v>1025</v>
      </c>
      <c r="B26" s="2">
        <v>46132</v>
      </c>
      <c r="C26" t="s">
        <v>7</v>
      </c>
      <c r="D26" t="s">
        <v>8</v>
      </c>
      <c r="E26" t="s">
        <v>9</v>
      </c>
      <c r="F26" s="12">
        <v>3</v>
      </c>
      <c r="G26" s="8">
        <v>54000</v>
      </c>
    </row>
    <row r="27" spans="1:7" x14ac:dyDescent="0.25">
      <c r="A27">
        <v>1026</v>
      </c>
      <c r="B27" s="2">
        <v>46140</v>
      </c>
      <c r="C27" t="s">
        <v>10</v>
      </c>
      <c r="D27" t="s">
        <v>11</v>
      </c>
      <c r="E27" t="s">
        <v>15</v>
      </c>
      <c r="F27" s="12">
        <v>2</v>
      </c>
      <c r="G27" s="8">
        <v>30000</v>
      </c>
    </row>
    <row r="28" spans="1:7" x14ac:dyDescent="0.25">
      <c r="A28">
        <v>1027</v>
      </c>
      <c r="B28" s="2">
        <v>46145</v>
      </c>
      <c r="C28" t="s">
        <v>13</v>
      </c>
      <c r="D28" t="s">
        <v>14</v>
      </c>
      <c r="E28" t="s">
        <v>9</v>
      </c>
      <c r="F28" s="12">
        <v>2</v>
      </c>
      <c r="G28" s="8">
        <v>25000</v>
      </c>
    </row>
    <row r="29" spans="1:7" x14ac:dyDescent="0.25">
      <c r="A29">
        <v>1028</v>
      </c>
      <c r="B29" s="2">
        <v>46149</v>
      </c>
      <c r="C29" t="s">
        <v>7</v>
      </c>
      <c r="D29" t="s">
        <v>8</v>
      </c>
      <c r="E29" t="s">
        <v>15</v>
      </c>
      <c r="F29" s="12">
        <v>2</v>
      </c>
      <c r="G29" s="8">
        <v>36000</v>
      </c>
    </row>
    <row r="30" spans="1:7" x14ac:dyDescent="0.25">
      <c r="A30">
        <v>1029</v>
      </c>
      <c r="B30" s="2">
        <v>46154</v>
      </c>
      <c r="C30" t="s">
        <v>17</v>
      </c>
      <c r="D30" t="s">
        <v>11</v>
      </c>
      <c r="E30" t="s">
        <v>16</v>
      </c>
      <c r="F30" s="12">
        <v>1</v>
      </c>
      <c r="G30" s="8">
        <v>10000</v>
      </c>
    </row>
    <row r="31" spans="1:7" x14ac:dyDescent="0.25">
      <c r="A31">
        <v>1030</v>
      </c>
      <c r="B31" s="2">
        <v>46160</v>
      </c>
      <c r="C31" t="s">
        <v>10</v>
      </c>
      <c r="D31" t="s">
        <v>11</v>
      </c>
      <c r="E31" t="s">
        <v>12</v>
      </c>
      <c r="F31" s="12">
        <v>2</v>
      </c>
      <c r="G31" s="8">
        <v>30000</v>
      </c>
    </row>
    <row r="32" spans="1:7" x14ac:dyDescent="0.25">
      <c r="A32">
        <v>1031</v>
      </c>
      <c r="B32" s="2">
        <v>46165</v>
      </c>
      <c r="C32" t="s">
        <v>13</v>
      </c>
      <c r="D32" t="s">
        <v>14</v>
      </c>
      <c r="E32" t="s">
        <v>15</v>
      </c>
      <c r="F32" s="12">
        <v>1</v>
      </c>
      <c r="G32" s="8">
        <v>12500</v>
      </c>
    </row>
    <row r="33" spans="1:7" x14ac:dyDescent="0.25">
      <c r="A33">
        <v>1032</v>
      </c>
      <c r="B33" s="2">
        <v>46171</v>
      </c>
      <c r="C33" t="s">
        <v>7</v>
      </c>
      <c r="D33" t="s">
        <v>8</v>
      </c>
      <c r="E33" t="s">
        <v>9</v>
      </c>
      <c r="F33" s="12">
        <v>2</v>
      </c>
      <c r="G33" s="8">
        <v>36000</v>
      </c>
    </row>
    <row r="34" spans="1:7" x14ac:dyDescent="0.25">
      <c r="A34">
        <v>1033</v>
      </c>
      <c r="B34" s="2">
        <v>46175</v>
      </c>
      <c r="C34" t="s">
        <v>17</v>
      </c>
      <c r="D34" t="s">
        <v>11</v>
      </c>
      <c r="E34" t="s">
        <v>16</v>
      </c>
      <c r="F34" s="12">
        <v>2</v>
      </c>
      <c r="G34" s="8">
        <v>20000</v>
      </c>
    </row>
    <row r="35" spans="1:7" x14ac:dyDescent="0.25">
      <c r="A35">
        <v>1034</v>
      </c>
      <c r="B35" s="2">
        <v>46181</v>
      </c>
      <c r="C35" t="s">
        <v>10</v>
      </c>
      <c r="D35" t="s">
        <v>11</v>
      </c>
      <c r="E35" t="s">
        <v>12</v>
      </c>
      <c r="F35" s="12">
        <v>1</v>
      </c>
      <c r="G35" s="8">
        <v>15000</v>
      </c>
    </row>
    <row r="36" spans="1:7" x14ac:dyDescent="0.25">
      <c r="A36">
        <v>1035</v>
      </c>
      <c r="B36" s="2">
        <v>46186</v>
      </c>
      <c r="C36" t="s">
        <v>7</v>
      </c>
      <c r="D36" t="s">
        <v>8</v>
      </c>
      <c r="E36" t="s">
        <v>15</v>
      </c>
      <c r="F36" s="12">
        <v>3</v>
      </c>
      <c r="G36" s="8">
        <v>54000</v>
      </c>
    </row>
    <row r="37" spans="1:7" x14ac:dyDescent="0.25">
      <c r="A37">
        <v>1036</v>
      </c>
      <c r="B37" s="2">
        <v>46191</v>
      </c>
      <c r="C37" t="s">
        <v>13</v>
      </c>
      <c r="D37" t="s">
        <v>14</v>
      </c>
      <c r="E37" t="s">
        <v>9</v>
      </c>
      <c r="F37" s="12">
        <v>1</v>
      </c>
      <c r="G37" s="8">
        <v>12500</v>
      </c>
    </row>
    <row r="38" spans="1:7" x14ac:dyDescent="0.25">
      <c r="A38">
        <v>1037</v>
      </c>
      <c r="B38" s="2">
        <v>46197</v>
      </c>
      <c r="C38" t="s">
        <v>17</v>
      </c>
      <c r="D38" t="s">
        <v>11</v>
      </c>
      <c r="E38" t="s">
        <v>16</v>
      </c>
      <c r="F38" s="12">
        <v>1</v>
      </c>
      <c r="G38" s="8">
        <v>10000</v>
      </c>
    </row>
    <row r="39" spans="1:7" x14ac:dyDescent="0.25">
      <c r="A39">
        <v>1038</v>
      </c>
      <c r="B39" s="2">
        <v>46202</v>
      </c>
      <c r="C39" t="s">
        <v>7</v>
      </c>
      <c r="D39" t="s">
        <v>8</v>
      </c>
      <c r="E39" t="s">
        <v>9</v>
      </c>
      <c r="F39" s="12">
        <v>2</v>
      </c>
      <c r="G39" s="8">
        <v>36000</v>
      </c>
    </row>
    <row r="40" spans="1:7" x14ac:dyDescent="0.25">
      <c r="A40">
        <v>1039</v>
      </c>
      <c r="B40" s="2">
        <v>46207</v>
      </c>
      <c r="C40" t="s">
        <v>10</v>
      </c>
      <c r="D40" t="s">
        <v>11</v>
      </c>
      <c r="E40" t="s">
        <v>12</v>
      </c>
      <c r="F40" s="12">
        <v>2</v>
      </c>
      <c r="G40" s="8">
        <v>30000</v>
      </c>
    </row>
    <row r="41" spans="1:7" x14ac:dyDescent="0.25">
      <c r="A41">
        <v>1040</v>
      </c>
      <c r="B41" s="2">
        <v>46212</v>
      </c>
      <c r="C41" t="s">
        <v>13</v>
      </c>
      <c r="D41" t="s">
        <v>14</v>
      </c>
      <c r="E41" t="s">
        <v>15</v>
      </c>
      <c r="F41" s="12">
        <v>2</v>
      </c>
      <c r="G41" s="8">
        <v>25000</v>
      </c>
    </row>
    <row r="42" spans="1:7" x14ac:dyDescent="0.25">
      <c r="A42">
        <v>1041</v>
      </c>
      <c r="B42" s="2">
        <v>46217</v>
      </c>
      <c r="C42" t="s">
        <v>7</v>
      </c>
      <c r="D42" t="s">
        <v>8</v>
      </c>
      <c r="E42" t="s">
        <v>9</v>
      </c>
      <c r="F42" s="12">
        <v>1</v>
      </c>
      <c r="G42" s="8">
        <v>18000</v>
      </c>
    </row>
    <row r="43" spans="1:7" x14ac:dyDescent="0.25">
      <c r="A43">
        <v>1042</v>
      </c>
      <c r="B43" s="2">
        <v>46222</v>
      </c>
      <c r="C43" t="s">
        <v>17</v>
      </c>
      <c r="D43" t="s">
        <v>11</v>
      </c>
      <c r="E43" t="s">
        <v>16</v>
      </c>
      <c r="F43" s="12">
        <v>2</v>
      </c>
      <c r="G43" s="8">
        <v>20000</v>
      </c>
    </row>
    <row r="44" spans="1:7" x14ac:dyDescent="0.25">
      <c r="A44">
        <v>1043</v>
      </c>
      <c r="B44" s="2">
        <v>46226</v>
      </c>
      <c r="C44" t="s">
        <v>10</v>
      </c>
      <c r="D44" t="s">
        <v>11</v>
      </c>
      <c r="E44" t="s">
        <v>12</v>
      </c>
      <c r="F44" s="12">
        <v>1</v>
      </c>
      <c r="G44" s="8">
        <v>15000</v>
      </c>
    </row>
    <row r="45" spans="1:7" x14ac:dyDescent="0.25">
      <c r="A45">
        <v>1044</v>
      </c>
      <c r="B45" s="2">
        <v>46231</v>
      </c>
      <c r="C45" t="s">
        <v>13</v>
      </c>
      <c r="D45" t="s">
        <v>14</v>
      </c>
      <c r="E45" t="s">
        <v>9</v>
      </c>
      <c r="F45" s="12">
        <v>2</v>
      </c>
      <c r="G45" s="8">
        <v>25000</v>
      </c>
    </row>
    <row r="46" spans="1:7" x14ac:dyDescent="0.25">
      <c r="A46">
        <v>1045</v>
      </c>
      <c r="B46" s="2">
        <v>46237</v>
      </c>
      <c r="C46" t="s">
        <v>7</v>
      </c>
      <c r="D46" t="s">
        <v>8</v>
      </c>
      <c r="E46" t="s">
        <v>15</v>
      </c>
      <c r="F46" s="12">
        <v>3</v>
      </c>
      <c r="G46" s="8">
        <v>54000</v>
      </c>
    </row>
    <row r="47" spans="1:7" x14ac:dyDescent="0.25">
      <c r="A47">
        <v>1046</v>
      </c>
      <c r="B47" s="2">
        <v>46242</v>
      </c>
      <c r="C47" t="s">
        <v>10</v>
      </c>
      <c r="D47" t="s">
        <v>11</v>
      </c>
      <c r="E47" t="s">
        <v>12</v>
      </c>
      <c r="F47" s="12">
        <v>2</v>
      </c>
      <c r="G47" s="8">
        <v>30000</v>
      </c>
    </row>
    <row r="48" spans="1:7" x14ac:dyDescent="0.25">
      <c r="A48">
        <v>1047</v>
      </c>
      <c r="B48" s="2">
        <v>46246</v>
      </c>
      <c r="C48" t="s">
        <v>13</v>
      </c>
      <c r="D48" t="s">
        <v>14</v>
      </c>
      <c r="E48" t="s">
        <v>9</v>
      </c>
      <c r="F48" s="12">
        <v>1</v>
      </c>
      <c r="G48" s="8">
        <v>12500</v>
      </c>
    </row>
    <row r="49" spans="1:7" x14ac:dyDescent="0.25">
      <c r="A49">
        <v>1048</v>
      </c>
      <c r="B49" s="2">
        <v>46251</v>
      </c>
      <c r="C49" t="s">
        <v>17</v>
      </c>
      <c r="D49" t="s">
        <v>11</v>
      </c>
      <c r="E49" t="s">
        <v>16</v>
      </c>
      <c r="F49" s="12">
        <v>1</v>
      </c>
      <c r="G49" s="8">
        <v>10000</v>
      </c>
    </row>
    <row r="50" spans="1:7" x14ac:dyDescent="0.25">
      <c r="A50">
        <v>1049</v>
      </c>
      <c r="B50" s="2">
        <v>46256</v>
      </c>
      <c r="C50" t="s">
        <v>7</v>
      </c>
      <c r="D50" t="s">
        <v>8</v>
      </c>
      <c r="E50" t="s">
        <v>9</v>
      </c>
      <c r="F50" s="12">
        <v>2</v>
      </c>
      <c r="G50" s="8">
        <v>36000</v>
      </c>
    </row>
    <row r="51" spans="1:7" x14ac:dyDescent="0.25">
      <c r="A51">
        <v>1050</v>
      </c>
      <c r="B51" s="2">
        <v>46263</v>
      </c>
      <c r="C51" t="s">
        <v>10</v>
      </c>
      <c r="D51" t="s">
        <v>11</v>
      </c>
      <c r="E51" t="s">
        <v>15</v>
      </c>
      <c r="F51" s="12">
        <v>2</v>
      </c>
      <c r="G51" s="8">
        <v>30000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F5FAE-D503-4BBC-8C0F-31A00AC58116}">
  <dimension ref="G3:J11"/>
  <sheetViews>
    <sheetView tabSelected="1" workbookViewId="0">
      <selection activeCell="G18" sqref="G18"/>
    </sheetView>
  </sheetViews>
  <sheetFormatPr defaultRowHeight="15" x14ac:dyDescent="0.25"/>
  <cols>
    <col min="1" max="1" width="13.140625" bestFit="1" customWidth="1"/>
    <col min="2" max="2" width="12.140625" bestFit="1" customWidth="1"/>
    <col min="3" max="3" width="16.85546875" bestFit="1" customWidth="1"/>
    <col min="5" max="5" width="0.42578125" customWidth="1"/>
    <col min="6" max="6" width="4" customWidth="1"/>
    <col min="7" max="7" width="9.7109375" customWidth="1"/>
    <col min="8" max="8" width="11.7109375" style="8" customWidth="1"/>
    <col min="9" max="9" width="21.5703125" style="8" customWidth="1"/>
    <col min="10" max="10" width="25" style="10" customWidth="1"/>
  </cols>
  <sheetData>
    <row r="3" spans="7:10" x14ac:dyDescent="0.25">
      <c r="G3" s="6" t="s">
        <v>35</v>
      </c>
      <c r="H3" s="7" t="s">
        <v>6</v>
      </c>
      <c r="I3" s="7" t="s">
        <v>36</v>
      </c>
      <c r="J3" s="9" t="s">
        <v>37</v>
      </c>
    </row>
    <row r="4" spans="7:10" x14ac:dyDescent="0.25">
      <c r="G4" s="6" t="s">
        <v>29</v>
      </c>
      <c r="H4" s="7">
        <v>128500</v>
      </c>
      <c r="I4" s="7">
        <v>0</v>
      </c>
      <c r="J4" s="9">
        <v>0</v>
      </c>
    </row>
    <row r="5" spans="7:10" x14ac:dyDescent="0.25">
      <c r="G5" s="6" t="s">
        <v>30</v>
      </c>
      <c r="H5" s="7">
        <v>178000</v>
      </c>
      <c r="I5" s="7">
        <f>(H5-H4)</f>
        <v>49500</v>
      </c>
      <c r="J5" s="9">
        <f>(I5/H4)</f>
        <v>0.38521400778210119</v>
      </c>
    </row>
    <row r="6" spans="7:10" x14ac:dyDescent="0.25">
      <c r="G6" s="6" t="s">
        <v>31</v>
      </c>
      <c r="H6" s="7">
        <v>130500</v>
      </c>
      <c r="I6" s="7">
        <f t="shared" ref="I6:I11" si="0">(H6-H5)</f>
        <v>-47500</v>
      </c>
      <c r="J6" s="9">
        <f t="shared" ref="J6:J11" si="1">(I6/H5)</f>
        <v>-0.26685393258426965</v>
      </c>
    </row>
    <row r="7" spans="7:10" x14ac:dyDescent="0.25">
      <c r="G7" s="6" t="s">
        <v>32</v>
      </c>
      <c r="H7" s="7">
        <v>157500</v>
      </c>
      <c r="I7" s="7">
        <f t="shared" si="0"/>
        <v>27000</v>
      </c>
      <c r="J7" s="9">
        <f t="shared" si="1"/>
        <v>0.20689655172413793</v>
      </c>
    </row>
    <row r="8" spans="7:10" x14ac:dyDescent="0.25">
      <c r="G8" s="6" t="s">
        <v>33</v>
      </c>
      <c r="H8" s="7">
        <v>149500</v>
      </c>
      <c r="I8" s="7">
        <f t="shared" si="0"/>
        <v>-8000</v>
      </c>
      <c r="J8" s="9">
        <f t="shared" si="1"/>
        <v>-5.0793650793650794E-2</v>
      </c>
    </row>
    <row r="9" spans="7:10" x14ac:dyDescent="0.25">
      <c r="G9" s="6" t="s">
        <v>38</v>
      </c>
      <c r="H9" s="7">
        <v>147500</v>
      </c>
      <c r="I9" s="7">
        <f t="shared" si="0"/>
        <v>-2000</v>
      </c>
      <c r="J9" s="9">
        <f t="shared" si="1"/>
        <v>-1.3377926421404682E-2</v>
      </c>
    </row>
    <row r="10" spans="7:10" x14ac:dyDescent="0.25">
      <c r="G10" s="6" t="s">
        <v>39</v>
      </c>
      <c r="H10" s="7">
        <v>133000</v>
      </c>
      <c r="I10" s="7">
        <f t="shared" si="0"/>
        <v>-14500</v>
      </c>
      <c r="J10" s="9">
        <f t="shared" si="1"/>
        <v>-9.8305084745762716E-2</v>
      </c>
    </row>
    <row r="11" spans="7:10" x14ac:dyDescent="0.25">
      <c r="G11" s="6" t="s">
        <v>34</v>
      </c>
      <c r="H11" s="7">
        <v>172500</v>
      </c>
      <c r="I11" s="7">
        <f t="shared" si="0"/>
        <v>39500</v>
      </c>
      <c r="J11" s="9">
        <f t="shared" si="1"/>
        <v>0.29699248120300753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68EFA-AC2D-4610-B8B8-73139AA301BE}">
  <dimension ref="B3:L12"/>
  <sheetViews>
    <sheetView workbookViewId="0">
      <selection activeCell="D19" sqref="D19"/>
    </sheetView>
  </sheetViews>
  <sheetFormatPr defaultRowHeight="15" x14ac:dyDescent="0.25"/>
  <cols>
    <col min="1" max="2" width="13.140625" bestFit="1" customWidth="1"/>
    <col min="3" max="3" width="12.140625" bestFit="1" customWidth="1"/>
    <col min="4" max="5" width="13.140625" bestFit="1" customWidth="1"/>
    <col min="6" max="6" width="12.140625" bestFit="1" customWidth="1"/>
    <col min="8" max="8" width="13.140625" bestFit="1" customWidth="1"/>
    <col min="9" max="9" width="12.140625" bestFit="1" customWidth="1"/>
    <col min="11" max="11" width="13.140625" bestFit="1" customWidth="1"/>
    <col min="12" max="12" width="12.140625" bestFit="1" customWidth="1"/>
  </cols>
  <sheetData>
    <row r="3" spans="2:12" x14ac:dyDescent="0.25">
      <c r="B3" s="4" t="s">
        <v>27</v>
      </c>
      <c r="C3" t="s">
        <v>26</v>
      </c>
      <c r="E3" s="4" t="s">
        <v>27</v>
      </c>
      <c r="F3" t="s">
        <v>26</v>
      </c>
      <c r="H3" s="4" t="s">
        <v>27</v>
      </c>
      <c r="I3" t="s">
        <v>26</v>
      </c>
      <c r="K3" s="4" t="s">
        <v>27</v>
      </c>
      <c r="L3" t="s">
        <v>26</v>
      </c>
    </row>
    <row r="4" spans="2:12" x14ac:dyDescent="0.25">
      <c r="B4" s="5" t="s">
        <v>29</v>
      </c>
      <c r="C4">
        <v>36000</v>
      </c>
      <c r="E4" s="5" t="s">
        <v>8</v>
      </c>
      <c r="F4">
        <v>522000</v>
      </c>
      <c r="H4" s="5" t="s">
        <v>7</v>
      </c>
      <c r="I4">
        <v>522000</v>
      </c>
      <c r="K4" s="5" t="s">
        <v>9</v>
      </c>
      <c r="L4">
        <v>306000</v>
      </c>
    </row>
    <row r="5" spans="2:12" x14ac:dyDescent="0.25">
      <c r="B5" s="5" t="s">
        <v>30</v>
      </c>
      <c r="C5">
        <v>108000</v>
      </c>
      <c r="E5" s="5" t="s">
        <v>28</v>
      </c>
      <c r="F5">
        <v>522000</v>
      </c>
      <c r="H5" s="5" t="s">
        <v>28</v>
      </c>
      <c r="I5">
        <v>522000</v>
      </c>
      <c r="K5" s="5" t="s">
        <v>15</v>
      </c>
      <c r="L5">
        <v>198000</v>
      </c>
    </row>
    <row r="6" spans="2:12" x14ac:dyDescent="0.25">
      <c r="B6" s="5" t="s">
        <v>31</v>
      </c>
      <c r="C6">
        <v>18000</v>
      </c>
      <c r="K6" s="5" t="s">
        <v>16</v>
      </c>
      <c r="L6">
        <v>18000</v>
      </c>
    </row>
    <row r="7" spans="2:12" x14ac:dyDescent="0.25">
      <c r="B7" s="5" t="s">
        <v>32</v>
      </c>
      <c r="C7">
        <v>90000</v>
      </c>
      <c r="K7" s="5" t="s">
        <v>28</v>
      </c>
      <c r="L7">
        <v>522000</v>
      </c>
    </row>
    <row r="8" spans="2:12" x14ac:dyDescent="0.25">
      <c r="B8" s="5" t="s">
        <v>33</v>
      </c>
      <c r="C8">
        <v>72000</v>
      </c>
    </row>
    <row r="9" spans="2:12" x14ac:dyDescent="0.25">
      <c r="B9" s="5" t="s">
        <v>40</v>
      </c>
      <c r="C9">
        <v>90000</v>
      </c>
    </row>
    <row r="10" spans="2:12" x14ac:dyDescent="0.25">
      <c r="B10" s="5" t="s">
        <v>41</v>
      </c>
      <c r="C10">
        <v>18000</v>
      </c>
    </row>
    <row r="11" spans="2:12" x14ac:dyDescent="0.25">
      <c r="B11" s="5" t="s">
        <v>34</v>
      </c>
      <c r="C11">
        <v>90000</v>
      </c>
    </row>
    <row r="12" spans="2:12" x14ac:dyDescent="0.25">
      <c r="B12" s="5" t="s">
        <v>28</v>
      </c>
      <c r="C12">
        <v>522000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E78AE-7795-4C5D-AD9F-B7E33F130EA3}">
  <dimension ref="D1:O61"/>
  <sheetViews>
    <sheetView workbookViewId="0">
      <selection activeCell="D61" sqref="D61"/>
    </sheetView>
  </sheetViews>
  <sheetFormatPr defaultRowHeight="15" x14ac:dyDescent="0.25"/>
  <cols>
    <col min="1" max="1" width="13.140625" bestFit="1" customWidth="1"/>
    <col min="2" max="2" width="12.140625" bestFit="1" customWidth="1"/>
    <col min="5" max="5" width="20.5703125" customWidth="1"/>
  </cols>
  <sheetData>
    <row r="1" ht="15" customHeight="1" x14ac:dyDescent="0.25"/>
    <row r="33" spans="4:15" x14ac:dyDescent="0.25">
      <c r="D33" t="s">
        <v>46</v>
      </c>
    </row>
    <row r="34" spans="4:15" x14ac:dyDescent="0.25">
      <c r="D34" t="s">
        <v>47</v>
      </c>
    </row>
    <row r="35" spans="4:15" x14ac:dyDescent="0.25">
      <c r="D35" t="s">
        <v>55</v>
      </c>
    </row>
    <row r="37" spans="4:15" x14ac:dyDescent="0.25">
      <c r="D37" t="s">
        <v>48</v>
      </c>
    </row>
    <row r="38" spans="4:15" x14ac:dyDescent="0.25">
      <c r="D38" t="s">
        <v>49</v>
      </c>
    </row>
    <row r="40" spans="4:15" x14ac:dyDescent="0.25">
      <c r="D40" t="s">
        <v>50</v>
      </c>
    </row>
    <row r="41" spans="4:15" x14ac:dyDescent="0.25">
      <c r="D41" t="s">
        <v>51</v>
      </c>
    </row>
    <row r="43" spans="4:15" x14ac:dyDescent="0.25">
      <c r="D43" t="s">
        <v>52</v>
      </c>
    </row>
    <row r="44" spans="4:15" x14ac:dyDescent="0.25">
      <c r="D44" t="s">
        <v>53</v>
      </c>
    </row>
    <row r="46" spans="4:15" x14ac:dyDescent="0.25">
      <c r="D46" t="s">
        <v>54</v>
      </c>
    </row>
    <row r="47" spans="4:15" x14ac:dyDescent="0.25">
      <c r="D47" t="s">
        <v>56</v>
      </c>
      <c r="O47" s="14"/>
    </row>
    <row r="50" spans="4:4" x14ac:dyDescent="0.25">
      <c r="D50" t="s">
        <v>57</v>
      </c>
    </row>
    <row r="51" spans="4:4" x14ac:dyDescent="0.25">
      <c r="D51" t="s">
        <v>58</v>
      </c>
    </row>
    <row r="52" spans="4:4" x14ac:dyDescent="0.25">
      <c r="D52" t="s">
        <v>59</v>
      </c>
    </row>
    <row r="54" spans="4:4" x14ac:dyDescent="0.25">
      <c r="D54" t="s">
        <v>60</v>
      </c>
    </row>
    <row r="55" spans="4:4" x14ac:dyDescent="0.25">
      <c r="D55" t="s">
        <v>61</v>
      </c>
    </row>
    <row r="57" spans="4:4" x14ac:dyDescent="0.25">
      <c r="D57" t="s">
        <v>62</v>
      </c>
    </row>
    <row r="58" spans="4:4" x14ac:dyDescent="0.25">
      <c r="D58" t="s">
        <v>63</v>
      </c>
    </row>
    <row r="60" spans="4:4" x14ac:dyDescent="0.25">
      <c r="D60" t="s">
        <v>64</v>
      </c>
    </row>
    <row r="61" spans="4:4" x14ac:dyDescent="0.25">
      <c r="D61" t="s">
        <v>65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defaultRowHeight="15" x14ac:dyDescent="0.25"/>
  <sheetData>
    <row r="1" spans="1:1" x14ac:dyDescent="0.25">
      <c r="A1" s="1" t="s">
        <v>18</v>
      </c>
    </row>
    <row r="2" spans="1:1" x14ac:dyDescent="0.25">
      <c r="A2" t="s">
        <v>19</v>
      </c>
    </row>
    <row r="3" spans="1:1" x14ac:dyDescent="0.25">
      <c r="A3" t="s">
        <v>20</v>
      </c>
    </row>
    <row r="4" spans="1:1" x14ac:dyDescent="0.25">
      <c r="A4" t="s">
        <v>21</v>
      </c>
    </row>
    <row r="5" spans="1:1" x14ac:dyDescent="0.25">
      <c r="A5" t="s">
        <v>22</v>
      </c>
    </row>
    <row r="6" spans="1:1" x14ac:dyDescent="0.25">
      <c r="A6"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Percentage Change</vt:lpstr>
      <vt:lpstr>Pivot tables 1</vt:lpstr>
      <vt:lpstr>Interactive Dashboard</vt:lpstr>
      <vt:lpstr>Project Brief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Patrick Dike Mark</cp:lastModifiedBy>
  <dcterms:created xsi:type="dcterms:W3CDTF">2026-09-15T09:06:19Z</dcterms:created>
  <dcterms:modified xsi:type="dcterms:W3CDTF">2026-09-23T02:39:52Z</dcterms:modified>
</cp:coreProperties>
</file>